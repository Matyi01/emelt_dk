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\emelt_dk\22maj\e_inffor_22maj_fl\Informatika_forras_E2211\2_Fakultacio\"/>
    </mc:Choice>
  </mc:AlternateContent>
  <xr:revisionPtr revIDLastSave="0" documentId="13_ncr:1_{CB468E31-5250-4329-8BB6-3F9078598186}" xr6:coauthVersionLast="47" xr6:coauthVersionMax="47" xr10:uidLastSave="{00000000-0000-0000-0000-000000000000}"/>
  <bookViews>
    <workbookView xWindow="-120" yWindow="-120" windowWidth="29040" windowHeight="15720" xr2:uid="{1BAF9851-59BF-4BE7-8B0E-636B5C663FE8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9" i="1" l="1"/>
  <c r="C36" i="1"/>
  <c r="P34" i="1"/>
  <c r="E34" i="1"/>
  <c r="F34" i="1"/>
  <c r="G34" i="1"/>
  <c r="H34" i="1"/>
  <c r="I34" i="1"/>
  <c r="J34" i="1"/>
  <c r="K34" i="1"/>
  <c r="L34" i="1"/>
  <c r="M34" i="1"/>
  <c r="N34" i="1"/>
  <c r="O34" i="1"/>
  <c r="D34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" i="1"/>
</calcChain>
</file>

<file path=xl/sharedStrings.xml><?xml version="1.0" encoding="utf-8"?>
<sst xmlns="http://schemas.openxmlformats.org/spreadsheetml/2006/main" count="174" uniqueCount="90">
  <si>
    <t>H</t>
  </si>
  <si>
    <t>K</t>
  </si>
  <si>
    <t>Sz</t>
  </si>
  <si>
    <t>Cs</t>
  </si>
  <si>
    <t>P</t>
  </si>
  <si>
    <t>csoport</t>
  </si>
  <si>
    <t>idegen nyelv</t>
  </si>
  <si>
    <t>fizika</t>
  </si>
  <si>
    <t>földrajz</t>
  </si>
  <si>
    <t>matematika</t>
  </si>
  <si>
    <t>magyar</t>
  </si>
  <si>
    <t>vizuális kultúra</t>
  </si>
  <si>
    <t>testnevelés</t>
  </si>
  <si>
    <t>kémia</t>
  </si>
  <si>
    <t>történelem</t>
  </si>
  <si>
    <t>biológia</t>
  </si>
  <si>
    <t>informatika</t>
  </si>
  <si>
    <t>ének-zene</t>
  </si>
  <si>
    <t>fakultációk száma</t>
  </si>
  <si>
    <t>1.</t>
  </si>
  <si>
    <t>Adonyi Amália</t>
  </si>
  <si>
    <t>A</t>
  </si>
  <si>
    <t>angol</t>
  </si>
  <si>
    <t>x</t>
  </si>
  <si>
    <t>2.</t>
  </si>
  <si>
    <t>Aszódi Attila</t>
  </si>
  <si>
    <t>B</t>
  </si>
  <si>
    <t>3.</t>
  </si>
  <si>
    <t>Esztergom Andrea</t>
  </si>
  <si>
    <t>4.</t>
  </si>
  <si>
    <t>Esztergom Eszter</t>
  </si>
  <si>
    <t>5.</t>
  </si>
  <si>
    <t>Etyeki Elek</t>
  </si>
  <si>
    <t>6.</t>
  </si>
  <si>
    <t>Farmosi Fanni</t>
  </si>
  <si>
    <t>7.</t>
  </si>
  <si>
    <t>Fertődi Friderika</t>
  </si>
  <si>
    <t>8.</t>
  </si>
  <si>
    <t>Fonyódi Frigyes</t>
  </si>
  <si>
    <t>német</t>
  </si>
  <si>
    <t>9.</t>
  </si>
  <si>
    <t>Fóti Franciska</t>
  </si>
  <si>
    <t>10.</t>
  </si>
  <si>
    <t xml:space="preserve">Földesi Fábián </t>
  </si>
  <si>
    <t>olasz</t>
  </si>
  <si>
    <t>11.</t>
  </si>
  <si>
    <t>Gárdonyi Gizella</t>
  </si>
  <si>
    <t>12.</t>
  </si>
  <si>
    <t>Gombai Gáspár</t>
  </si>
  <si>
    <t>13.</t>
  </si>
  <si>
    <t>Hernádi Hugó</t>
  </si>
  <si>
    <t>14.</t>
  </si>
  <si>
    <t>Karcagi Katalin</t>
  </si>
  <si>
    <t>15.</t>
  </si>
  <si>
    <t>Kenderesi Kázmér</t>
  </si>
  <si>
    <t>16.</t>
  </si>
  <si>
    <t>Kerepesi Katalin</t>
  </si>
  <si>
    <t>17.</t>
  </si>
  <si>
    <t>Kőszegi Kázmér</t>
  </si>
  <si>
    <t>18.</t>
  </si>
  <si>
    <t>Letkési Lajos</t>
  </si>
  <si>
    <t>19.</t>
  </si>
  <si>
    <t>Monori Márton</t>
  </si>
  <si>
    <t>20.</t>
  </si>
  <si>
    <t>Örkényi Ödön</t>
  </si>
  <si>
    <t>21.</t>
  </si>
  <si>
    <t>Pápai Petrik</t>
  </si>
  <si>
    <t>22.</t>
  </si>
  <si>
    <t>Péceli Panna</t>
  </si>
  <si>
    <t>23.</t>
  </si>
  <si>
    <t>Pécsi Péter</t>
  </si>
  <si>
    <t>24.</t>
  </si>
  <si>
    <t>Pomázi Petra</t>
  </si>
  <si>
    <t>25.</t>
  </si>
  <si>
    <t>Soproni Sámuel</t>
  </si>
  <si>
    <t>26.</t>
  </si>
  <si>
    <t>Szegedi Szilvia</t>
  </si>
  <si>
    <t>27.</t>
  </si>
  <si>
    <t>Szepezdi Szilárd</t>
  </si>
  <si>
    <t>28.</t>
  </si>
  <si>
    <t>Sziráki Szilvia</t>
  </si>
  <si>
    <t>29.</t>
  </si>
  <si>
    <t>Váci Vendel</t>
  </si>
  <si>
    <t>30.</t>
  </si>
  <si>
    <t>Velencei Viktor</t>
  </si>
  <si>
    <t>31.</t>
  </si>
  <si>
    <t>Zirci Zoltán</t>
  </si>
  <si>
    <t>összesen</t>
  </si>
  <si>
    <t>legkisebb nem nulla létszám</t>
  </si>
  <si>
    <t>fő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</si>
</sst>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816ED-BDB1-46DD-8589-7695C80A1B45}">
  <dimension ref="A1:Q41"/>
  <sheetViews>
    <sheetView tabSelected="1" topLeftCell="A7" workbookViewId="0">
      <selection activeCell="C42" sqref="C42"/>
    </sheetView>
  </sheetViews>
  <sheetFormatPr defaultRowHeight="15" x14ac:dyDescent="0.25"/>
  <cols>
    <col min="1" max="1" width="3.5703125" bestFit="1" customWidth="1"/>
    <col min="2" max="2" width="26.7109375" bestFit="1" customWidth="1"/>
    <col min="3" max="3" width="7.5703125" bestFit="1" customWidth="1"/>
    <col min="4" max="4" width="12.42578125" bestFit="1" customWidth="1"/>
    <col min="5" max="5" width="5.7109375" bestFit="1" customWidth="1"/>
    <col min="6" max="6" width="7.7109375" bestFit="1" customWidth="1"/>
    <col min="7" max="7" width="11.5703125" bestFit="1" customWidth="1"/>
    <col min="8" max="8" width="7.42578125" bestFit="1" customWidth="1"/>
    <col min="9" max="9" width="14.42578125" bestFit="1" customWidth="1"/>
    <col min="10" max="10" width="11.42578125" bestFit="1" customWidth="1"/>
    <col min="11" max="11" width="6.42578125" bestFit="1" customWidth="1"/>
    <col min="12" max="12" width="11.140625" bestFit="1" customWidth="1"/>
    <col min="13" max="13" width="8.140625" bestFit="1" customWidth="1"/>
    <col min="14" max="14" width="11.28515625" bestFit="1" customWidth="1"/>
    <col min="15" max="15" width="10.42578125" bestFit="1" customWidth="1"/>
    <col min="16" max="16" width="6.42578125" bestFit="1" customWidth="1"/>
    <col min="17" max="17" width="16.7109375" bestFit="1" customWidth="1"/>
  </cols>
  <sheetData>
    <row r="1" spans="1:17" x14ac:dyDescent="0.25">
      <c r="D1" t="s">
        <v>0</v>
      </c>
      <c r="G1" t="s">
        <v>1</v>
      </c>
      <c r="J1" t="s">
        <v>2</v>
      </c>
      <c r="M1" t="s">
        <v>3</v>
      </c>
      <c r="P1" t="s">
        <v>4</v>
      </c>
    </row>
    <row r="2" spans="1:17" x14ac:dyDescent="0.25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13</v>
      </c>
      <c r="Q2" t="s">
        <v>18</v>
      </c>
    </row>
    <row r="3" spans="1:17" x14ac:dyDescent="0.25">
      <c r="A3" t="s">
        <v>19</v>
      </c>
      <c r="B3" t="s">
        <v>20</v>
      </c>
      <c r="C3" t="s">
        <v>21</v>
      </c>
      <c r="D3" t="s">
        <v>22</v>
      </c>
      <c r="F3" t="s">
        <v>23</v>
      </c>
      <c r="P3" t="str">
        <f>IF(K3="x","x","")</f>
        <v/>
      </c>
      <c r="Q3">
        <f>COUNTA(D3:O3)</f>
        <v>2</v>
      </c>
    </row>
    <row r="4" spans="1:17" x14ac:dyDescent="0.25">
      <c r="A4" t="s">
        <v>24</v>
      </c>
      <c r="B4" t="s">
        <v>25</v>
      </c>
      <c r="C4" t="s">
        <v>26</v>
      </c>
      <c r="P4" t="str">
        <f t="shared" ref="P4:P33" si="0">IF(K4="x","x","")</f>
        <v/>
      </c>
      <c r="Q4">
        <f t="shared" ref="Q4:Q33" si="1">COUNTA(D4:O4)</f>
        <v>0</v>
      </c>
    </row>
    <row r="5" spans="1:17" x14ac:dyDescent="0.25">
      <c r="A5" t="s">
        <v>27</v>
      </c>
      <c r="B5" t="s">
        <v>28</v>
      </c>
      <c r="C5" t="s">
        <v>26</v>
      </c>
      <c r="F5" t="s">
        <v>23</v>
      </c>
      <c r="L5" t="s">
        <v>23</v>
      </c>
      <c r="P5" t="str">
        <f t="shared" si="0"/>
        <v/>
      </c>
      <c r="Q5">
        <f t="shared" si="1"/>
        <v>2</v>
      </c>
    </row>
    <row r="6" spans="1:17" x14ac:dyDescent="0.25">
      <c r="A6" t="s">
        <v>29</v>
      </c>
      <c r="B6" t="s">
        <v>30</v>
      </c>
      <c r="C6" t="s">
        <v>26</v>
      </c>
      <c r="G6" t="s">
        <v>23</v>
      </c>
      <c r="K6" t="s">
        <v>23</v>
      </c>
      <c r="P6" t="str">
        <f t="shared" si="0"/>
        <v>x</v>
      </c>
      <c r="Q6">
        <f t="shared" si="1"/>
        <v>2</v>
      </c>
    </row>
    <row r="7" spans="1:17" x14ac:dyDescent="0.25">
      <c r="A7" t="s">
        <v>31</v>
      </c>
      <c r="B7" t="s">
        <v>32</v>
      </c>
      <c r="C7" t="s">
        <v>21</v>
      </c>
      <c r="K7" t="s">
        <v>23</v>
      </c>
      <c r="M7" t="s">
        <v>23</v>
      </c>
      <c r="P7" t="str">
        <f t="shared" si="0"/>
        <v>x</v>
      </c>
      <c r="Q7">
        <f t="shared" si="1"/>
        <v>2</v>
      </c>
    </row>
    <row r="8" spans="1:17" x14ac:dyDescent="0.25">
      <c r="A8" t="s">
        <v>33</v>
      </c>
      <c r="B8" t="s">
        <v>34</v>
      </c>
      <c r="C8" t="s">
        <v>26</v>
      </c>
      <c r="H8" t="s">
        <v>23</v>
      </c>
      <c r="M8" t="s">
        <v>23</v>
      </c>
      <c r="P8" t="str">
        <f t="shared" si="0"/>
        <v/>
      </c>
      <c r="Q8">
        <f t="shared" si="1"/>
        <v>2</v>
      </c>
    </row>
    <row r="9" spans="1:17" x14ac:dyDescent="0.25">
      <c r="A9" t="s">
        <v>35</v>
      </c>
      <c r="B9" t="s">
        <v>36</v>
      </c>
      <c r="C9" t="s">
        <v>21</v>
      </c>
      <c r="P9" t="str">
        <f t="shared" si="0"/>
        <v/>
      </c>
      <c r="Q9">
        <f t="shared" si="1"/>
        <v>0</v>
      </c>
    </row>
    <row r="10" spans="1:17" x14ac:dyDescent="0.25">
      <c r="A10" t="s">
        <v>37</v>
      </c>
      <c r="B10" t="s">
        <v>38</v>
      </c>
      <c r="C10" t="s">
        <v>26</v>
      </c>
      <c r="D10" t="s">
        <v>39</v>
      </c>
      <c r="H10" t="s">
        <v>23</v>
      </c>
      <c r="L10" t="s">
        <v>23</v>
      </c>
      <c r="P10" t="str">
        <f t="shared" si="0"/>
        <v/>
      </c>
      <c r="Q10">
        <f t="shared" si="1"/>
        <v>3</v>
      </c>
    </row>
    <row r="11" spans="1:17" x14ac:dyDescent="0.25">
      <c r="A11" t="s">
        <v>40</v>
      </c>
      <c r="B11" t="s">
        <v>41</v>
      </c>
      <c r="C11" t="s">
        <v>26</v>
      </c>
      <c r="E11" t="s">
        <v>23</v>
      </c>
      <c r="G11" t="s">
        <v>23</v>
      </c>
      <c r="P11" t="str">
        <f t="shared" si="0"/>
        <v/>
      </c>
      <c r="Q11">
        <f t="shared" si="1"/>
        <v>2</v>
      </c>
    </row>
    <row r="12" spans="1:17" x14ac:dyDescent="0.25">
      <c r="A12" t="s">
        <v>42</v>
      </c>
      <c r="B12" t="s">
        <v>43</v>
      </c>
      <c r="C12" t="s">
        <v>21</v>
      </c>
      <c r="D12" t="s">
        <v>44</v>
      </c>
      <c r="E12" t="s">
        <v>23</v>
      </c>
      <c r="P12" t="str">
        <f t="shared" si="0"/>
        <v/>
      </c>
      <c r="Q12">
        <f t="shared" si="1"/>
        <v>2</v>
      </c>
    </row>
    <row r="13" spans="1:17" x14ac:dyDescent="0.25">
      <c r="A13" t="s">
        <v>45</v>
      </c>
      <c r="B13" t="s">
        <v>46</v>
      </c>
      <c r="C13" t="s">
        <v>21</v>
      </c>
      <c r="D13" t="s">
        <v>44</v>
      </c>
      <c r="M13" t="s">
        <v>23</v>
      </c>
      <c r="P13" t="str">
        <f t="shared" si="0"/>
        <v/>
      </c>
      <c r="Q13">
        <f t="shared" si="1"/>
        <v>2</v>
      </c>
    </row>
    <row r="14" spans="1:17" x14ac:dyDescent="0.25">
      <c r="A14" t="s">
        <v>47</v>
      </c>
      <c r="B14" t="s">
        <v>48</v>
      </c>
      <c r="C14" t="s">
        <v>21</v>
      </c>
      <c r="G14" t="s">
        <v>23</v>
      </c>
      <c r="L14" t="s">
        <v>23</v>
      </c>
      <c r="P14" t="str">
        <f t="shared" si="0"/>
        <v/>
      </c>
      <c r="Q14">
        <f t="shared" si="1"/>
        <v>2</v>
      </c>
    </row>
    <row r="15" spans="1:17" x14ac:dyDescent="0.25">
      <c r="A15" t="s">
        <v>49</v>
      </c>
      <c r="B15" t="s">
        <v>50</v>
      </c>
      <c r="C15" t="s">
        <v>26</v>
      </c>
      <c r="F15" t="s">
        <v>23</v>
      </c>
      <c r="P15" t="str">
        <f t="shared" si="0"/>
        <v/>
      </c>
      <c r="Q15">
        <f t="shared" si="1"/>
        <v>1</v>
      </c>
    </row>
    <row r="16" spans="1:17" x14ac:dyDescent="0.25">
      <c r="A16" t="s">
        <v>51</v>
      </c>
      <c r="B16" t="s">
        <v>52</v>
      </c>
      <c r="C16" t="s">
        <v>21</v>
      </c>
      <c r="K16" t="s">
        <v>23</v>
      </c>
      <c r="M16" t="s">
        <v>23</v>
      </c>
      <c r="P16" t="str">
        <f t="shared" si="0"/>
        <v>x</v>
      </c>
      <c r="Q16">
        <f t="shared" si="1"/>
        <v>2</v>
      </c>
    </row>
    <row r="17" spans="1:17" x14ac:dyDescent="0.25">
      <c r="A17" t="s">
        <v>53</v>
      </c>
      <c r="B17" t="s">
        <v>54</v>
      </c>
      <c r="C17" t="s">
        <v>26</v>
      </c>
      <c r="E17" t="s">
        <v>23</v>
      </c>
      <c r="M17" t="s">
        <v>23</v>
      </c>
      <c r="P17" t="str">
        <f t="shared" si="0"/>
        <v/>
      </c>
      <c r="Q17">
        <f t="shared" si="1"/>
        <v>2</v>
      </c>
    </row>
    <row r="18" spans="1:17" x14ac:dyDescent="0.25">
      <c r="A18" t="s">
        <v>55</v>
      </c>
      <c r="B18" t="s">
        <v>56</v>
      </c>
      <c r="C18" t="s">
        <v>26</v>
      </c>
      <c r="M18" t="s">
        <v>23</v>
      </c>
      <c r="P18" t="str">
        <f t="shared" si="0"/>
        <v/>
      </c>
      <c r="Q18">
        <f t="shared" si="1"/>
        <v>1</v>
      </c>
    </row>
    <row r="19" spans="1:17" x14ac:dyDescent="0.25">
      <c r="A19" t="s">
        <v>57</v>
      </c>
      <c r="B19" t="s">
        <v>58</v>
      </c>
      <c r="C19" t="s">
        <v>21</v>
      </c>
      <c r="E19" t="s">
        <v>23</v>
      </c>
      <c r="G19" t="s">
        <v>23</v>
      </c>
      <c r="P19" t="str">
        <f t="shared" si="0"/>
        <v/>
      </c>
      <c r="Q19">
        <f t="shared" si="1"/>
        <v>2</v>
      </c>
    </row>
    <row r="20" spans="1:17" x14ac:dyDescent="0.25">
      <c r="A20" t="s">
        <v>59</v>
      </c>
      <c r="B20" t="s">
        <v>60</v>
      </c>
      <c r="C20" t="s">
        <v>26</v>
      </c>
      <c r="E20" t="s">
        <v>23</v>
      </c>
      <c r="K20" t="s">
        <v>23</v>
      </c>
      <c r="M20" t="s">
        <v>23</v>
      </c>
      <c r="P20" t="str">
        <f t="shared" si="0"/>
        <v>x</v>
      </c>
      <c r="Q20">
        <f t="shared" si="1"/>
        <v>3</v>
      </c>
    </row>
    <row r="21" spans="1:17" x14ac:dyDescent="0.25">
      <c r="A21" t="s">
        <v>61</v>
      </c>
      <c r="B21" t="s">
        <v>62</v>
      </c>
      <c r="C21" t="s">
        <v>21</v>
      </c>
      <c r="E21" t="s">
        <v>23</v>
      </c>
      <c r="N21" t="s">
        <v>23</v>
      </c>
      <c r="P21" t="str">
        <f t="shared" si="0"/>
        <v/>
      </c>
      <c r="Q21">
        <f t="shared" si="1"/>
        <v>2</v>
      </c>
    </row>
    <row r="22" spans="1:17" x14ac:dyDescent="0.25">
      <c r="A22" t="s">
        <v>63</v>
      </c>
      <c r="B22" t="s">
        <v>64</v>
      </c>
      <c r="C22" t="s">
        <v>21</v>
      </c>
      <c r="D22" t="s">
        <v>22</v>
      </c>
      <c r="P22" t="str">
        <f t="shared" si="0"/>
        <v/>
      </c>
      <c r="Q22">
        <f t="shared" si="1"/>
        <v>1</v>
      </c>
    </row>
    <row r="23" spans="1:17" x14ac:dyDescent="0.25">
      <c r="A23" t="s">
        <v>65</v>
      </c>
      <c r="B23" t="s">
        <v>66</v>
      </c>
      <c r="C23" t="s">
        <v>26</v>
      </c>
      <c r="D23" t="s">
        <v>44</v>
      </c>
      <c r="N23" t="s">
        <v>23</v>
      </c>
      <c r="P23" t="str">
        <f t="shared" si="0"/>
        <v/>
      </c>
      <c r="Q23">
        <f t="shared" si="1"/>
        <v>2</v>
      </c>
    </row>
    <row r="24" spans="1:17" x14ac:dyDescent="0.25">
      <c r="A24" t="s">
        <v>67</v>
      </c>
      <c r="B24" t="s">
        <v>68</v>
      </c>
      <c r="C24" t="s">
        <v>26</v>
      </c>
      <c r="K24" t="s">
        <v>23</v>
      </c>
      <c r="M24" t="s">
        <v>23</v>
      </c>
      <c r="P24" t="str">
        <f t="shared" si="0"/>
        <v>x</v>
      </c>
      <c r="Q24">
        <f t="shared" si="1"/>
        <v>2</v>
      </c>
    </row>
    <row r="25" spans="1:17" x14ac:dyDescent="0.25">
      <c r="A25" t="s">
        <v>69</v>
      </c>
      <c r="B25" t="s">
        <v>70</v>
      </c>
      <c r="C25" t="s">
        <v>21</v>
      </c>
      <c r="E25" t="s">
        <v>23</v>
      </c>
      <c r="P25" t="str">
        <f t="shared" si="0"/>
        <v/>
      </c>
      <c r="Q25">
        <f t="shared" si="1"/>
        <v>1</v>
      </c>
    </row>
    <row r="26" spans="1:17" x14ac:dyDescent="0.25">
      <c r="A26" t="s">
        <v>71</v>
      </c>
      <c r="B26" t="s">
        <v>72</v>
      </c>
      <c r="C26" t="s">
        <v>21</v>
      </c>
      <c r="F26" t="s">
        <v>23</v>
      </c>
      <c r="G26" t="s">
        <v>23</v>
      </c>
      <c r="P26" t="str">
        <f t="shared" si="0"/>
        <v/>
      </c>
      <c r="Q26">
        <f t="shared" si="1"/>
        <v>2</v>
      </c>
    </row>
    <row r="27" spans="1:17" x14ac:dyDescent="0.25">
      <c r="A27" t="s">
        <v>73</v>
      </c>
      <c r="B27" t="s">
        <v>74</v>
      </c>
      <c r="C27" t="s">
        <v>26</v>
      </c>
      <c r="F27" t="s">
        <v>23</v>
      </c>
      <c r="N27" t="s">
        <v>23</v>
      </c>
      <c r="P27" t="str">
        <f t="shared" si="0"/>
        <v/>
      </c>
      <c r="Q27">
        <f t="shared" si="1"/>
        <v>2</v>
      </c>
    </row>
    <row r="28" spans="1:17" x14ac:dyDescent="0.25">
      <c r="A28" t="s">
        <v>75</v>
      </c>
      <c r="B28" t="s">
        <v>76</v>
      </c>
      <c r="C28" t="s">
        <v>26</v>
      </c>
      <c r="K28" t="s">
        <v>23</v>
      </c>
      <c r="M28" t="s">
        <v>23</v>
      </c>
      <c r="P28" t="str">
        <f t="shared" si="0"/>
        <v>x</v>
      </c>
      <c r="Q28">
        <f t="shared" si="1"/>
        <v>2</v>
      </c>
    </row>
    <row r="29" spans="1:17" x14ac:dyDescent="0.25">
      <c r="A29" t="s">
        <v>77</v>
      </c>
      <c r="B29" t="s">
        <v>78</v>
      </c>
      <c r="C29" t="s">
        <v>26</v>
      </c>
      <c r="L29" t="s">
        <v>23</v>
      </c>
      <c r="M29" t="s">
        <v>23</v>
      </c>
      <c r="P29" t="str">
        <f t="shared" si="0"/>
        <v/>
      </c>
      <c r="Q29">
        <f t="shared" si="1"/>
        <v>2</v>
      </c>
    </row>
    <row r="30" spans="1:17" x14ac:dyDescent="0.25">
      <c r="A30" t="s">
        <v>79</v>
      </c>
      <c r="B30" t="s">
        <v>80</v>
      </c>
      <c r="C30" t="s">
        <v>26</v>
      </c>
      <c r="E30" t="s">
        <v>23</v>
      </c>
      <c r="P30" t="str">
        <f t="shared" si="0"/>
        <v/>
      </c>
      <c r="Q30">
        <f t="shared" si="1"/>
        <v>1</v>
      </c>
    </row>
    <row r="31" spans="1:17" x14ac:dyDescent="0.25">
      <c r="A31" t="s">
        <v>81</v>
      </c>
      <c r="B31" t="s">
        <v>82</v>
      </c>
      <c r="C31" t="s">
        <v>21</v>
      </c>
      <c r="K31" t="s">
        <v>23</v>
      </c>
      <c r="M31" t="s">
        <v>23</v>
      </c>
      <c r="P31" t="str">
        <f t="shared" si="0"/>
        <v>x</v>
      </c>
      <c r="Q31">
        <f t="shared" si="1"/>
        <v>2</v>
      </c>
    </row>
    <row r="32" spans="1:17" x14ac:dyDescent="0.25">
      <c r="A32" t="s">
        <v>83</v>
      </c>
      <c r="B32" t="s">
        <v>84</v>
      </c>
      <c r="C32" t="s">
        <v>21</v>
      </c>
      <c r="F32" t="s">
        <v>23</v>
      </c>
      <c r="M32" t="s">
        <v>23</v>
      </c>
      <c r="P32" t="str">
        <f t="shared" si="0"/>
        <v/>
      </c>
      <c r="Q32">
        <f t="shared" si="1"/>
        <v>2</v>
      </c>
    </row>
    <row r="33" spans="1:17" x14ac:dyDescent="0.25">
      <c r="A33" t="s">
        <v>85</v>
      </c>
      <c r="B33" t="s">
        <v>86</v>
      </c>
      <c r="C33" t="s">
        <v>21</v>
      </c>
      <c r="P33" t="str">
        <f t="shared" si="0"/>
        <v/>
      </c>
      <c r="Q33">
        <f t="shared" si="1"/>
        <v>0</v>
      </c>
    </row>
    <row r="34" spans="1:17" x14ac:dyDescent="0.25">
      <c r="B34" t="s">
        <v>87</v>
      </c>
      <c r="D34">
        <f>COUNTA(D3:D33)</f>
        <v>6</v>
      </c>
      <c r="E34">
        <f t="shared" ref="E34:P34" si="2">COUNTA(E3:E33)</f>
        <v>8</v>
      </c>
      <c r="F34">
        <f t="shared" si="2"/>
        <v>6</v>
      </c>
      <c r="G34">
        <f t="shared" si="2"/>
        <v>5</v>
      </c>
      <c r="H34">
        <f t="shared" si="2"/>
        <v>2</v>
      </c>
      <c r="I34">
        <f t="shared" si="2"/>
        <v>0</v>
      </c>
      <c r="J34">
        <f t="shared" si="2"/>
        <v>0</v>
      </c>
      <c r="K34">
        <f t="shared" si="2"/>
        <v>7</v>
      </c>
      <c r="L34">
        <f t="shared" si="2"/>
        <v>4</v>
      </c>
      <c r="M34">
        <f t="shared" si="2"/>
        <v>12</v>
      </c>
      <c r="N34">
        <f t="shared" si="2"/>
        <v>3</v>
      </c>
      <c r="O34">
        <f t="shared" si="2"/>
        <v>0</v>
      </c>
      <c r="P34">
        <f>COUNTA(K3:K33)</f>
        <v>7</v>
      </c>
    </row>
    <row r="36" spans="1:17" x14ac:dyDescent="0.25">
      <c r="B36" t="s">
        <v>88</v>
      </c>
      <c r="C36">
        <f>_xlfn.MINIFS(D34:P34,D34:P34,"&lt;&gt;0")</f>
        <v>2</v>
      </c>
    </row>
    <row r="38" spans="1:17" x14ac:dyDescent="0.25">
      <c r="B38" t="s">
        <v>6</v>
      </c>
      <c r="C38" t="s">
        <v>5</v>
      </c>
      <c r="D38" t="s">
        <v>89</v>
      </c>
    </row>
    <row r="39" spans="1:17" x14ac:dyDescent="0.25">
      <c r="B39" t="s">
        <v>44</v>
      </c>
      <c r="C39" t="s">
        <v>26</v>
      </c>
      <c r="D39">
        <f>COUNTIFS(C3:C33,C39,D3:D33,B39)</f>
        <v>1</v>
      </c>
    </row>
    <row r="41" spans="1:17" x14ac:dyDescent="0.25">
      <c r="B41" t="s">
        <v>18</v>
      </c>
      <c r="C41">
        <v>2</v>
      </c>
    </row>
  </sheetData>
  <conditionalFormatting sqref="B3:B33">
    <cfRule type="expression" dxfId="0" priority="1">
      <formula>$Q3=$C$41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2026-05-15T08:50:14Z</dcterms:created>
  <dcterms:modified xsi:type="dcterms:W3CDTF">2026-05-15T09:25:54Z</dcterms:modified>
</cp:coreProperties>
</file>