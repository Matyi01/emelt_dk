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\emelt_dk\22okt\e_digkultfor_22okt_fl\Digitalis_kultura_Forras_E2212\1B_Dobogoko\"/>
    </mc:Choice>
  </mc:AlternateContent>
  <xr:revisionPtr revIDLastSave="0" documentId="13_ncr:1_{55AD887F-4483-493B-AA72-499E6A178E6A}" xr6:coauthVersionLast="47" xr6:coauthVersionMax="47" xr10:uidLastSave="{00000000-0000-0000-0000-000000000000}"/>
  <bookViews>
    <workbookView xWindow="-120" yWindow="-120" windowWidth="29040" windowHeight="15720" xr2:uid="{3EB0C252-334C-4281-8131-B733DC557E4D}"/>
  </bookViews>
  <sheets>
    <sheet name="nyomvonal" sheetId="2" r:id="rId1"/>
    <sheet name="vezetes" sheetId="3" r:id="rId2"/>
  </sheets>
  <definedNames>
    <definedName name="KülsőAdatok_2" localSheetId="1" hidden="1">vezetes!$A$1:$J$92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E5" i="2"/>
  <c r="F3" i="2"/>
  <c r="E3" i="2"/>
  <c r="F10" i="2"/>
  <c r="E10" i="2"/>
  <c r="E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64EA8F-3723-4F3E-AE63-B887325580FB}" keepAlive="1" name="Lekérdezés - nyomvonal" description="A munkafüzetben levő „nyomvonal” lekérdezés kapcsolata" type="5" refreshedVersion="7" background="1" saveData="1">
    <dbPr connection="Provider=Microsoft.Mashup.OleDb.1;Data Source=$Workbook$;Location=nyomvonal;Extended Properties=&quot;&quot;" command="SELECT * FROM [nyomvonal]"/>
  </connection>
  <connection id="2" xr16:uid="{6BD6DA8C-C7ED-4CE3-A5F6-023C30A19B4D}" keepAlive="1" name="Lekérdezés - vezetes" description="A munkafüzetben levő „vezetes” lekérdezés kapcsolata" type="5" refreshedVersion="7" background="1" saveData="1">
    <dbPr connection="Provider=Microsoft.Mashup.OleDb.1;Data Source=$Workbook$;Location=vezetes;Extended Properties=&quot;&quot;" command="SELECT * FROM [vezetes]"/>
  </connection>
</connections>
</file>

<file path=xl/sharedStrings.xml><?xml version="1.0" encoding="utf-8"?>
<sst xmlns="http://schemas.openxmlformats.org/spreadsheetml/2006/main" count="748" uniqueCount="75">
  <si>
    <t>x koordináta</t>
  </si>
  <si>
    <t>y koordináta</t>
  </si>
  <si>
    <t>magasság</t>
  </si>
  <si>
    <t>Táv (km)</t>
  </si>
  <si>
    <t>Idő (perc)</t>
  </si>
  <si>
    <t>Irány</t>
  </si>
  <si>
    <t>Úttípus vagy név</t>
  </si>
  <si>
    <t>Érdekes pontok</t>
  </si>
  <si>
    <t>Távolság terv (km)</t>
  </si>
  <si>
    <t>Rögzített távolság (km)</t>
  </si>
  <si>
    <t>Rögzített idő (perc)</t>
  </si>
  <si>
    <t>Átlagsebesség (km/h)</t>
  </si>
  <si>
    <t>enyhén balra északkeletre</t>
  </si>
  <si>
    <t>szervizút</t>
  </si>
  <si>
    <t>Dobogókői parkoló, Büfé &amp; Grill</t>
  </si>
  <si>
    <t/>
  </si>
  <si>
    <t>egyenesen északnyugatra</t>
  </si>
  <si>
    <t>Információs tábla, dobogókői parkoló</t>
  </si>
  <si>
    <t>élesen jobbra keletre</t>
  </si>
  <si>
    <t>Eötvös Loránd utca</t>
  </si>
  <si>
    <t>enyhén balra északra</t>
  </si>
  <si>
    <t>földút</t>
  </si>
  <si>
    <t>egyenesen északra</t>
  </si>
  <si>
    <t>gyalogút</t>
  </si>
  <si>
    <t>Turistamúzeum - Báró Eötvös Loránd Menedékház, Báró Eötvös Loránd Turistaház Étterme</t>
  </si>
  <si>
    <t>jobbra keletre</t>
  </si>
  <si>
    <t>Turista Múzeum, Báró Eötvös Loránd Menedékház</t>
  </si>
  <si>
    <t>egyenesen keletre</t>
  </si>
  <si>
    <t>Turista Múzeum, Téry-emlékmű, Dobogó-kő, Báró Eötvös Loránd Menedékház</t>
  </si>
  <si>
    <t>egyenesen délkeletre</t>
  </si>
  <si>
    <t>balra északnyugatra</t>
  </si>
  <si>
    <t>lépcső</t>
  </si>
  <si>
    <t>Táltos Iskola kapu</t>
  </si>
  <si>
    <t>Thirring körút</t>
  </si>
  <si>
    <t>enyhén balra nyugatra</t>
  </si>
  <si>
    <t>enyhén jobbra keletre</t>
  </si>
  <si>
    <t>Thirring-szikla</t>
  </si>
  <si>
    <t>enyhén jobbra északkeletre</t>
  </si>
  <si>
    <t>enyhén balra északnyugatra</t>
  </si>
  <si>
    <t>egyenesen délnyugatra</t>
  </si>
  <si>
    <t>enyhén jobbra nyugatra</t>
  </si>
  <si>
    <t>Nagyboldogasszony-forrás</t>
  </si>
  <si>
    <t>enyhén jobbra északra</t>
  </si>
  <si>
    <t>egyenesen nyugatra</t>
  </si>
  <si>
    <t>jobbra északra</t>
  </si>
  <si>
    <t>Rám-hegyi út</t>
  </si>
  <si>
    <t>jobbra északkeletre</t>
  </si>
  <si>
    <t>Rám-hegy kapuja</t>
  </si>
  <si>
    <t>egyenesen északkeletre</t>
  </si>
  <si>
    <t>Rám-szakadék tanösvény</t>
  </si>
  <si>
    <t>jobbra délre</t>
  </si>
  <si>
    <t>enyhén jobbra északnyugatra</t>
  </si>
  <si>
    <t>Rám-szakadék (Pilisi vándorlás)</t>
  </si>
  <si>
    <t>jobbra északnyugatra</t>
  </si>
  <si>
    <t>enyhén balra délre</t>
  </si>
  <si>
    <t>enyhén jobbra délnyugatra</t>
  </si>
  <si>
    <t>egyenesen délre</t>
  </si>
  <si>
    <t>Tirts Rezső kilátó</t>
  </si>
  <si>
    <t>Manréza</t>
  </si>
  <si>
    <t>enyhén jobbra délkeletre</t>
  </si>
  <si>
    <t>élesen jobbra délre</t>
  </si>
  <si>
    <t>jobbra nyugatra</t>
  </si>
  <si>
    <t>Téry Ödön út</t>
  </si>
  <si>
    <t>lakóút</t>
  </si>
  <si>
    <t>Dobogókői parkoló</t>
  </si>
  <si>
    <t>enyhén balra délkeletre</t>
  </si>
  <si>
    <t>Turista Büfé, palacsinta, lángos, dobogókői parkoló</t>
  </si>
  <si>
    <t>Oszlop1</t>
  </si>
  <si>
    <t>x minimum</t>
  </si>
  <si>
    <t>y minimum</t>
  </si>
  <si>
    <t>x maximum</t>
  </si>
  <si>
    <t>y maximum</t>
  </si>
  <si>
    <t>magasság minimum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</si>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</sst>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alignment horizontal="center" textRotation="0" indent="0" justifyLastLine="0" shrinkToFit="0" readingOrder="0"/>
    </dxf>
    <dxf>
      <numFmt numFmtId="0" formatCode="General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2" connectionId="2" xr16:uid="{CD308C6F-D6B4-4476-94AD-7D74AD11C406}" autoFormatId="16" applyNumberFormats="0" applyBorderFormats="0" applyFontFormats="0" applyPatternFormats="0" applyAlignmentFormats="0" applyWidthHeightFormats="0">
  <queryTableRefresh nextId="11">
    <queryTableFields count="10">
      <queryTableField id="1" name="Táv (km)" tableColumnId="1"/>
      <queryTableField id="2" name="Idő (perc)" tableColumnId="2"/>
      <queryTableField id="3" name="Irány" tableColumnId="3"/>
      <queryTableField id="4" name="Úttípus vagy név" tableColumnId="4"/>
      <queryTableField id="5" name="Érdekes pontok" tableColumnId="5"/>
      <queryTableField id="6" name="Column1" tableColumnId="6"/>
      <queryTableField id="7" name="Távolság terv (km)" tableColumnId="7"/>
      <queryTableField id="8" name="Rögzített távolság (km)" tableColumnId="8"/>
      <queryTableField id="9" name="Rögzített idő (perc)" tableColumnId="9"/>
      <queryTableField id="10" name="Átlagsebesség (km/h)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8406C-9365-48EA-99D7-17730BA567F6}" name="nyomvonal" displayName="nyomvonal" ref="A1:C279" totalsRowShown="0" dataDxfId="0">
  <autoFilter ref="A1:C279" xr:uid="{7D08406C-9365-48EA-99D7-17730BA567F6}">
    <filterColumn colId="0" hiddenButton="1"/>
    <filterColumn colId="1" hiddenButton="1"/>
    <filterColumn colId="2" hiddenButton="1"/>
  </autoFilter>
  <tableColumns count="3">
    <tableColumn id="1" xr3:uid="{833C729E-7D31-496D-8E9B-BB2D85CAEAF3}" name="x koordináta" dataDxfId="3"/>
    <tableColumn id="2" xr3:uid="{270B19AF-74C5-4064-993F-4556A48D0327}" name="y koordináta" dataDxfId="2"/>
    <tableColumn id="3" xr3:uid="{33C51109-6B03-478D-BC53-0BBEC4D73A5F}" name="magasság" dataDxfId="1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07DA7-9F81-4F51-A248-CE054C05B3D0}" name="vezetes" displayName="vezetes" ref="A1:J92" tableType="queryTable" totalsRowShown="0" headerRowDxfId="12">
  <autoFilter ref="A1:J92" xr:uid="{79907DA7-9F81-4F51-A248-CE054C05B3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C0E3ABA-27D3-4F52-BB75-6C94632ADA6B}" uniqueName="1" name="Táv (km)" queryTableFieldId="1" dataDxfId="11"/>
    <tableColumn id="2" xr3:uid="{D19E8A88-A28B-4B4B-A7D9-5335757255AF}" uniqueName="2" name="Idő (perc)" queryTableFieldId="2" dataDxfId="9"/>
    <tableColumn id="3" xr3:uid="{5B897D40-972E-4249-8D4E-05BA13B4B856}" uniqueName="3" name="Irány" queryTableFieldId="3" dataDxfId="10"/>
    <tableColumn id="4" xr3:uid="{67F4B923-180F-4C15-94D1-EF2A0F9A864F}" uniqueName="4" name="Úttípus vagy név" queryTableFieldId="4" dataDxfId="14"/>
    <tableColumn id="5" xr3:uid="{835D3DE4-0FB7-4A2F-A5C3-1CBB4A2057AB}" uniqueName="5" name="Érdekes pontok" queryTableFieldId="5" dataDxfId="13"/>
    <tableColumn id="6" xr3:uid="{F85B0EB4-AA89-44EA-A750-EE33B0EAF6B6}" uniqueName="6" name="Oszlop1" queryTableFieldId="6" dataDxfId="8"/>
    <tableColumn id="7" xr3:uid="{4EF8B29B-ABFD-49BC-B1BC-10DF5E87171F}" uniqueName="7" name="Távolság terv (km)" queryTableFieldId="7" dataDxfId="7"/>
    <tableColumn id="8" xr3:uid="{BB53072B-CEA6-4821-B673-B188732D4026}" uniqueName="8" name="Rögzített távolság (km)" queryTableFieldId="8" dataDxfId="6"/>
    <tableColumn id="9" xr3:uid="{D7AACAE6-5B14-4ACF-BBEB-EA023D592D8C}" uniqueName="9" name="Rögzített idő (perc)" queryTableFieldId="9" dataDxfId="5"/>
    <tableColumn id="10" xr3:uid="{5C6722FD-0335-4C7A-8315-5E3AE932A401}" uniqueName="10" name="Átlagsebesség (km/h)" queryTableFieldId="10" dataDxfId="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0027-F889-4159-A120-10A3A26D5351}">
  <dimension ref="A1:F279"/>
  <sheetViews>
    <sheetView tabSelected="1" workbookViewId="0">
      <selection activeCell="F6" sqref="F6"/>
    </sheetView>
  </sheetViews>
  <sheetFormatPr defaultRowHeight="15" x14ac:dyDescent="0.25"/>
  <cols>
    <col min="1" max="2" width="12" bestFit="1" customWidth="1"/>
    <col min="3" max="3" width="9.42578125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 s="3">
        <v>18.897379999999998</v>
      </c>
      <c r="B2" s="3">
        <v>47.718828999999999</v>
      </c>
      <c r="C2" s="3">
        <v>694</v>
      </c>
      <c r="E2" t="s">
        <v>68</v>
      </c>
      <c r="F2" t="s">
        <v>69</v>
      </c>
    </row>
    <row r="3" spans="1:6" x14ac:dyDescent="0.25">
      <c r="A3" s="3">
        <v>18.898029999999999</v>
      </c>
      <c r="B3" s="3">
        <v>47.718772999999999</v>
      </c>
      <c r="C3" s="3">
        <v>694</v>
      </c>
      <c r="E3">
        <f>ROUNDDOWN(MIN(nyomvonal[x koordináta]),3)</f>
        <v>18.88</v>
      </c>
      <c r="F3">
        <f>ROUNDDOWN(MIN(nyomvonal[y koordináta]),3)</f>
        <v>47.718000000000004</v>
      </c>
    </row>
    <row r="4" spans="1:6" x14ac:dyDescent="0.25">
      <c r="A4" s="3">
        <v>18.898104</v>
      </c>
      <c r="B4" s="3">
        <v>47.718885999999998</v>
      </c>
      <c r="C4" s="3">
        <v>694</v>
      </c>
      <c r="E4" t="s">
        <v>70</v>
      </c>
      <c r="F4" t="s">
        <v>71</v>
      </c>
    </row>
    <row r="5" spans="1:6" x14ac:dyDescent="0.25">
      <c r="A5" s="3">
        <v>18.898063</v>
      </c>
      <c r="B5" s="3">
        <v>47.718935999999999</v>
      </c>
      <c r="C5" s="3">
        <v>694</v>
      </c>
      <c r="E5">
        <f>ROUNDUP(MAX(nyomvonal[x koordináta]),3)</f>
        <v>18.904</v>
      </c>
      <c r="F5">
        <f>ROUNDUP(MAX(nyomvonal[y koordináta]),3)</f>
        <v>47.747999999999998</v>
      </c>
    </row>
    <row r="6" spans="1:6" x14ac:dyDescent="0.25">
      <c r="A6" s="3">
        <v>18.898015999999998</v>
      </c>
      <c r="B6" s="3">
        <v>47.718992999999998</v>
      </c>
      <c r="C6" s="3">
        <v>694</v>
      </c>
    </row>
    <row r="7" spans="1:6" x14ac:dyDescent="0.25">
      <c r="A7" s="3">
        <v>18.898111</v>
      </c>
      <c r="B7" s="3">
        <v>47.718975999999998</v>
      </c>
      <c r="C7" s="3">
        <v>694.2</v>
      </c>
      <c r="E7" s="6" t="s">
        <v>72</v>
      </c>
      <c r="F7" s="6"/>
    </row>
    <row r="8" spans="1:6" x14ac:dyDescent="0.25">
      <c r="A8" s="3">
        <v>18.898095999999999</v>
      </c>
      <c r="B8" s="3">
        <v>47.719088999999997</v>
      </c>
      <c r="C8" s="3">
        <v>693.4</v>
      </c>
      <c r="E8" s="6">
        <f>MIN(nyomvonal[magasság])</f>
        <v>199.2</v>
      </c>
      <c r="F8" s="6"/>
    </row>
    <row r="9" spans="1:6" x14ac:dyDescent="0.25">
      <c r="A9" s="3">
        <v>18.898579999999999</v>
      </c>
      <c r="B9" s="3">
        <v>47.719540000000002</v>
      </c>
      <c r="C9" s="3">
        <v>692.6</v>
      </c>
      <c r="E9" t="s">
        <v>73</v>
      </c>
      <c r="F9" t="s">
        <v>74</v>
      </c>
    </row>
    <row r="10" spans="1:6" x14ac:dyDescent="0.25">
      <c r="A10" s="3">
        <v>18.898745000000002</v>
      </c>
      <c r="B10" s="3">
        <v>47.719844999999999</v>
      </c>
      <c r="C10" s="3">
        <v>691</v>
      </c>
      <c r="E10">
        <f>_xlfn.XLOOKUP(E8,nyomvonal[magasság],nyomvonal[x koordináta])</f>
        <v>18.903051000000001</v>
      </c>
      <c r="F10">
        <f>_xlfn.XLOOKUP(E8,nyomvonal[magasság],nyomvonal[y koordináta])</f>
        <v>47.747450000000001</v>
      </c>
    </row>
    <row r="11" spans="1:6" x14ac:dyDescent="0.25">
      <c r="A11" s="3">
        <v>18.898917000000001</v>
      </c>
      <c r="B11" s="3">
        <v>47.719830000000002</v>
      </c>
      <c r="C11" s="3">
        <v>690.2</v>
      </c>
    </row>
    <row r="12" spans="1:6" x14ac:dyDescent="0.25">
      <c r="A12" s="3">
        <v>18.899228999999998</v>
      </c>
      <c r="B12" s="3">
        <v>47.719800999999997</v>
      </c>
      <c r="C12" s="3">
        <v>689.2</v>
      </c>
    </row>
    <row r="13" spans="1:6" x14ac:dyDescent="0.25">
      <c r="A13" s="3">
        <v>18.899671999999999</v>
      </c>
      <c r="B13" s="3">
        <v>47.719659</v>
      </c>
      <c r="C13" s="3">
        <v>688.4</v>
      </c>
    </row>
    <row r="14" spans="1:6" x14ac:dyDescent="0.25">
      <c r="A14" s="3">
        <v>18.899549</v>
      </c>
      <c r="B14" s="3">
        <v>47.719862999999997</v>
      </c>
      <c r="C14" s="3">
        <v>687.6</v>
      </c>
    </row>
    <row r="15" spans="1:6" x14ac:dyDescent="0.25">
      <c r="A15" s="3">
        <v>18.899467999999999</v>
      </c>
      <c r="B15" s="3">
        <v>47.719923999999999</v>
      </c>
      <c r="C15" s="3">
        <v>688</v>
      </c>
    </row>
    <row r="16" spans="1:6" x14ac:dyDescent="0.25">
      <c r="A16" s="3">
        <v>18.899903999999999</v>
      </c>
      <c r="B16" s="3">
        <v>47.719895999999999</v>
      </c>
      <c r="C16" s="3">
        <v>687.6</v>
      </c>
    </row>
    <row r="17" spans="1:3" x14ac:dyDescent="0.25">
      <c r="A17" s="3">
        <v>18.900182000000001</v>
      </c>
      <c r="B17" s="3">
        <v>47.719929</v>
      </c>
      <c r="C17" s="3">
        <v>686.8</v>
      </c>
    </row>
    <row r="18" spans="1:3" x14ac:dyDescent="0.25">
      <c r="A18" s="3">
        <v>18.900565</v>
      </c>
      <c r="B18" s="3">
        <v>47.720111000000003</v>
      </c>
      <c r="C18" s="3">
        <v>687.2</v>
      </c>
    </row>
    <row r="19" spans="1:3" x14ac:dyDescent="0.25">
      <c r="A19" s="3">
        <v>18.900593000000001</v>
      </c>
      <c r="B19" s="3">
        <v>47.720191</v>
      </c>
      <c r="C19" s="3">
        <v>681</v>
      </c>
    </row>
    <row r="20" spans="1:3" x14ac:dyDescent="0.25">
      <c r="A20" s="3">
        <v>18.900341999999998</v>
      </c>
      <c r="B20" s="3">
        <v>47.720216000000001</v>
      </c>
      <c r="C20" s="3">
        <v>674.4</v>
      </c>
    </row>
    <row r="21" spans="1:3" x14ac:dyDescent="0.25">
      <c r="A21" s="3">
        <v>18.900580000000001</v>
      </c>
      <c r="B21" s="3">
        <v>47.720391999999997</v>
      </c>
      <c r="C21" s="3">
        <v>668.8</v>
      </c>
    </row>
    <row r="22" spans="1:3" x14ac:dyDescent="0.25">
      <c r="A22" s="3">
        <v>18.900725999999999</v>
      </c>
      <c r="B22" s="3">
        <v>47.720590999999999</v>
      </c>
      <c r="C22" s="3">
        <v>656</v>
      </c>
    </row>
    <row r="23" spans="1:3" x14ac:dyDescent="0.25">
      <c r="A23" s="3">
        <v>18.901091999999998</v>
      </c>
      <c r="B23" s="3">
        <v>47.720649999999999</v>
      </c>
      <c r="C23" s="3">
        <v>642.79999999999995</v>
      </c>
    </row>
    <row r="24" spans="1:3" x14ac:dyDescent="0.25">
      <c r="A24" s="3">
        <v>18.901682000000001</v>
      </c>
      <c r="B24" s="3">
        <v>47.721142</v>
      </c>
      <c r="C24" s="3">
        <v>636.20000000000005</v>
      </c>
    </row>
    <row r="25" spans="1:3" x14ac:dyDescent="0.25">
      <c r="A25" s="3">
        <v>18.901738000000002</v>
      </c>
      <c r="B25" s="3">
        <v>47.721260999999998</v>
      </c>
      <c r="C25" s="3">
        <v>629.6</v>
      </c>
    </row>
    <row r="26" spans="1:3" x14ac:dyDescent="0.25">
      <c r="A26" s="3">
        <v>18.901965000000001</v>
      </c>
      <c r="B26" s="3">
        <v>47.721272999999997</v>
      </c>
      <c r="C26" s="3">
        <v>614</v>
      </c>
    </row>
    <row r="27" spans="1:3" x14ac:dyDescent="0.25">
      <c r="A27" s="3">
        <v>18.901958</v>
      </c>
      <c r="B27" s="3">
        <v>47.721756999999997</v>
      </c>
      <c r="C27" s="3">
        <v>600.4</v>
      </c>
    </row>
    <row r="28" spans="1:3" x14ac:dyDescent="0.25">
      <c r="A28" s="3">
        <v>18.902014000000001</v>
      </c>
      <c r="B28" s="3">
        <v>47.722054</v>
      </c>
      <c r="C28" s="3">
        <v>586.79999999999995</v>
      </c>
    </row>
    <row r="29" spans="1:3" x14ac:dyDescent="0.25">
      <c r="A29" s="3">
        <v>18.902280000000001</v>
      </c>
      <c r="B29" s="3">
        <v>47.722358</v>
      </c>
      <c r="C29" s="3">
        <v>572</v>
      </c>
    </row>
    <row r="30" spans="1:3" x14ac:dyDescent="0.25">
      <c r="A30" s="3">
        <v>18.902577000000001</v>
      </c>
      <c r="B30" s="3">
        <v>47.722954999999999</v>
      </c>
      <c r="C30" s="3">
        <v>557.20000000000005</v>
      </c>
    </row>
    <row r="31" spans="1:3" x14ac:dyDescent="0.25">
      <c r="A31" s="3">
        <v>18.902633000000002</v>
      </c>
      <c r="B31" s="3">
        <v>47.723233999999998</v>
      </c>
      <c r="C31" s="3">
        <v>549.20000000000005</v>
      </c>
    </row>
    <row r="32" spans="1:3" x14ac:dyDescent="0.25">
      <c r="A32" s="3">
        <v>18.903257</v>
      </c>
      <c r="B32" s="3">
        <v>47.723475000000001</v>
      </c>
      <c r="C32" s="3">
        <v>546.79999999999995</v>
      </c>
    </row>
    <row r="33" spans="1:3" x14ac:dyDescent="0.25">
      <c r="A33" s="3">
        <v>18.903314000000002</v>
      </c>
      <c r="B33" s="3">
        <v>47.723542999999999</v>
      </c>
      <c r="C33" s="3">
        <v>544.4</v>
      </c>
    </row>
    <row r="34" spans="1:3" x14ac:dyDescent="0.25">
      <c r="A34" s="3">
        <v>18.902756</v>
      </c>
      <c r="B34" s="3">
        <v>47.723753000000002</v>
      </c>
      <c r="C34" s="3">
        <v>543.20000000000005</v>
      </c>
    </row>
    <row r="35" spans="1:3" x14ac:dyDescent="0.25">
      <c r="A35" s="3">
        <v>18.90231</v>
      </c>
      <c r="B35" s="3">
        <v>47.723759000000001</v>
      </c>
      <c r="C35" s="3">
        <v>542</v>
      </c>
    </row>
    <row r="36" spans="1:3" x14ac:dyDescent="0.25">
      <c r="A36" s="3">
        <v>18.902041000000001</v>
      </c>
      <c r="B36" s="3">
        <v>47.723711999999999</v>
      </c>
      <c r="C36" s="3">
        <v>539.20000000000005</v>
      </c>
    </row>
    <row r="37" spans="1:3" x14ac:dyDescent="0.25">
      <c r="A37" s="3">
        <v>18.901689000000001</v>
      </c>
      <c r="B37" s="3">
        <v>47.723548999999998</v>
      </c>
      <c r="C37" s="3">
        <v>542.6</v>
      </c>
    </row>
    <row r="38" spans="1:3" x14ac:dyDescent="0.25">
      <c r="A38" s="3">
        <v>18.901361000000001</v>
      </c>
      <c r="B38" s="3">
        <v>47.723168999999999</v>
      </c>
      <c r="C38" s="3">
        <v>545.20000000000005</v>
      </c>
    </row>
    <row r="39" spans="1:3" x14ac:dyDescent="0.25">
      <c r="A39" s="3">
        <v>18.901177000000001</v>
      </c>
      <c r="B39" s="3">
        <v>47.723045999999997</v>
      </c>
      <c r="C39" s="3">
        <v>547.79999999999995</v>
      </c>
    </row>
    <row r="40" spans="1:3" x14ac:dyDescent="0.25">
      <c r="A40" s="3">
        <v>18.900493000000001</v>
      </c>
      <c r="B40" s="3">
        <v>47.722810000000003</v>
      </c>
      <c r="C40" s="3">
        <v>550.4</v>
      </c>
    </row>
    <row r="41" spans="1:3" x14ac:dyDescent="0.25">
      <c r="A41" s="3">
        <v>18.900210000000001</v>
      </c>
      <c r="B41" s="3">
        <v>47.722631999999997</v>
      </c>
      <c r="C41" s="3">
        <v>549.20000000000005</v>
      </c>
    </row>
    <row r="42" spans="1:3" x14ac:dyDescent="0.25">
      <c r="A42" s="3">
        <v>18.900120000000001</v>
      </c>
      <c r="B42" s="3">
        <v>47.722627000000003</v>
      </c>
      <c r="C42" s="3">
        <v>541.79999999999995</v>
      </c>
    </row>
    <row r="43" spans="1:3" x14ac:dyDescent="0.25">
      <c r="A43" s="3">
        <v>18.899982999999999</v>
      </c>
      <c r="B43" s="3">
        <v>47.722679999999997</v>
      </c>
      <c r="C43" s="3">
        <v>535.20000000000005</v>
      </c>
    </row>
    <row r="44" spans="1:3" x14ac:dyDescent="0.25">
      <c r="A44" s="3">
        <v>18.899726000000001</v>
      </c>
      <c r="B44" s="3">
        <v>47.723205</v>
      </c>
      <c r="C44" s="3">
        <v>527.20000000000005</v>
      </c>
    </row>
    <row r="45" spans="1:3" x14ac:dyDescent="0.25">
      <c r="A45" s="3">
        <v>18.899618</v>
      </c>
      <c r="B45" s="3">
        <v>47.723269000000002</v>
      </c>
      <c r="C45" s="3">
        <v>521</v>
      </c>
    </row>
    <row r="46" spans="1:3" x14ac:dyDescent="0.25">
      <c r="A46" s="3">
        <v>18.899619999999999</v>
      </c>
      <c r="B46" s="3">
        <v>47.723337000000001</v>
      </c>
      <c r="C46" s="3">
        <v>517.20000000000005</v>
      </c>
    </row>
    <row r="47" spans="1:3" x14ac:dyDescent="0.25">
      <c r="A47" s="3">
        <v>18.898896000000001</v>
      </c>
      <c r="B47" s="3">
        <v>47.724153000000001</v>
      </c>
      <c r="C47" s="3">
        <v>512.4</v>
      </c>
    </row>
    <row r="48" spans="1:3" x14ac:dyDescent="0.25">
      <c r="A48" s="3">
        <v>18.898557</v>
      </c>
      <c r="B48" s="3">
        <v>47.724437999999999</v>
      </c>
      <c r="C48" s="3">
        <v>507.6</v>
      </c>
    </row>
    <row r="49" spans="1:3" x14ac:dyDescent="0.25">
      <c r="A49" s="3">
        <v>18.898119000000001</v>
      </c>
      <c r="B49" s="3">
        <v>47.724727000000001</v>
      </c>
      <c r="C49" s="3">
        <v>505.6</v>
      </c>
    </row>
    <row r="50" spans="1:3" x14ac:dyDescent="0.25">
      <c r="A50" s="3">
        <v>18.897836999999999</v>
      </c>
      <c r="B50" s="3">
        <v>47.724736</v>
      </c>
      <c r="C50" s="3">
        <v>501.8</v>
      </c>
    </row>
    <row r="51" spans="1:3" x14ac:dyDescent="0.25">
      <c r="A51" s="3">
        <v>18.897220000000001</v>
      </c>
      <c r="B51" s="3">
        <v>47.72486</v>
      </c>
      <c r="C51" s="3">
        <v>500.4</v>
      </c>
    </row>
    <row r="52" spans="1:3" x14ac:dyDescent="0.25">
      <c r="A52" s="3">
        <v>18.896788999999998</v>
      </c>
      <c r="B52" s="3">
        <v>47.725029999999997</v>
      </c>
      <c r="C52" s="3">
        <v>500</v>
      </c>
    </row>
    <row r="53" spans="1:3" x14ac:dyDescent="0.25">
      <c r="A53" s="3">
        <v>18.896722</v>
      </c>
      <c r="B53" s="3">
        <v>47.725113999999998</v>
      </c>
      <c r="C53" s="3">
        <v>497.8</v>
      </c>
    </row>
    <row r="54" spans="1:3" x14ac:dyDescent="0.25">
      <c r="A54" s="3">
        <v>18.896657999999999</v>
      </c>
      <c r="B54" s="3">
        <v>47.725895999999999</v>
      </c>
      <c r="C54" s="3">
        <v>496.4</v>
      </c>
    </row>
    <row r="55" spans="1:3" x14ac:dyDescent="0.25">
      <c r="A55" s="3">
        <v>18.896667000000001</v>
      </c>
      <c r="B55" s="3">
        <v>47.726208</v>
      </c>
      <c r="C55" s="3">
        <v>495</v>
      </c>
    </row>
    <row r="56" spans="1:3" x14ac:dyDescent="0.25">
      <c r="A56" s="3">
        <v>18.896543000000001</v>
      </c>
      <c r="B56" s="3">
        <v>47.726394999999997</v>
      </c>
      <c r="C56" s="3">
        <v>489.8</v>
      </c>
    </row>
    <row r="57" spans="1:3" x14ac:dyDescent="0.25">
      <c r="A57" s="3">
        <v>18.896103</v>
      </c>
      <c r="B57" s="3">
        <v>47.726624000000001</v>
      </c>
      <c r="C57" s="3">
        <v>484.6</v>
      </c>
    </row>
    <row r="58" spans="1:3" x14ac:dyDescent="0.25">
      <c r="A58" s="3">
        <v>18.895790999999999</v>
      </c>
      <c r="B58" s="3">
        <v>47.726956999999999</v>
      </c>
      <c r="C58" s="3">
        <v>480.6</v>
      </c>
    </row>
    <row r="59" spans="1:3" x14ac:dyDescent="0.25">
      <c r="A59" s="3">
        <v>18.895631000000002</v>
      </c>
      <c r="B59" s="3">
        <v>47.727325999999998</v>
      </c>
      <c r="C59" s="3">
        <v>474.4</v>
      </c>
    </row>
    <row r="60" spans="1:3" x14ac:dyDescent="0.25">
      <c r="A60" s="3">
        <v>18.895510000000002</v>
      </c>
      <c r="B60" s="3">
        <v>47.727342</v>
      </c>
      <c r="C60" s="3">
        <v>468.2</v>
      </c>
    </row>
    <row r="61" spans="1:3" x14ac:dyDescent="0.25">
      <c r="A61" s="3">
        <v>18.895322</v>
      </c>
      <c r="B61" s="3">
        <v>47.728033000000003</v>
      </c>
      <c r="C61" s="3">
        <v>467.6</v>
      </c>
    </row>
    <row r="62" spans="1:3" x14ac:dyDescent="0.25">
      <c r="A62" s="3">
        <v>18.895188000000001</v>
      </c>
      <c r="B62" s="3">
        <v>47.728045000000002</v>
      </c>
      <c r="C62" s="3">
        <v>469.6</v>
      </c>
    </row>
    <row r="63" spans="1:3" x14ac:dyDescent="0.25">
      <c r="A63" s="3">
        <v>18.894838</v>
      </c>
      <c r="B63" s="3">
        <v>47.728329000000002</v>
      </c>
      <c r="C63" s="3">
        <v>472.2</v>
      </c>
    </row>
    <row r="64" spans="1:3" x14ac:dyDescent="0.25">
      <c r="A64" s="3">
        <v>18.894690000000001</v>
      </c>
      <c r="B64" s="3">
        <v>47.728352000000001</v>
      </c>
      <c r="C64" s="3">
        <v>472.8</v>
      </c>
    </row>
    <row r="65" spans="1:3" x14ac:dyDescent="0.25">
      <c r="A65" s="3">
        <v>18.894428999999999</v>
      </c>
      <c r="B65" s="3">
        <v>47.728265999999998</v>
      </c>
      <c r="C65" s="3">
        <v>473.4</v>
      </c>
    </row>
    <row r="66" spans="1:3" x14ac:dyDescent="0.25">
      <c r="A66" s="3">
        <v>18.894248999999999</v>
      </c>
      <c r="B66" s="3">
        <v>47.728592999999996</v>
      </c>
      <c r="C66" s="3">
        <v>474</v>
      </c>
    </row>
    <row r="67" spans="1:3" x14ac:dyDescent="0.25">
      <c r="A67" s="3">
        <v>18.894120999999998</v>
      </c>
      <c r="B67" s="3">
        <v>47.729247000000001</v>
      </c>
      <c r="C67" s="3">
        <v>471.8</v>
      </c>
    </row>
    <row r="68" spans="1:3" x14ac:dyDescent="0.25">
      <c r="A68" s="3">
        <v>18.894145000000002</v>
      </c>
      <c r="B68" s="3">
        <v>47.729393999999999</v>
      </c>
      <c r="C68" s="3">
        <v>469.6</v>
      </c>
    </row>
    <row r="69" spans="1:3" x14ac:dyDescent="0.25">
      <c r="A69" s="3">
        <v>18.893902000000001</v>
      </c>
      <c r="B69" s="3">
        <v>47.729498</v>
      </c>
      <c r="C69" s="3">
        <v>469.4</v>
      </c>
    </row>
    <row r="70" spans="1:3" x14ac:dyDescent="0.25">
      <c r="A70" s="3">
        <v>18.893374999999999</v>
      </c>
      <c r="B70" s="3">
        <v>47.729723</v>
      </c>
      <c r="C70" s="3">
        <v>469.2</v>
      </c>
    </row>
    <row r="71" spans="1:3" x14ac:dyDescent="0.25">
      <c r="A71" s="3">
        <v>18.893167999999999</v>
      </c>
      <c r="B71" s="3">
        <v>47.729897999999999</v>
      </c>
      <c r="C71" s="3">
        <v>469</v>
      </c>
    </row>
    <row r="72" spans="1:3" x14ac:dyDescent="0.25">
      <c r="A72" s="3">
        <v>18.893177000000001</v>
      </c>
      <c r="B72" s="3">
        <v>47.730117999999997</v>
      </c>
      <c r="C72" s="3">
        <v>467</v>
      </c>
    </row>
    <row r="73" spans="1:3" x14ac:dyDescent="0.25">
      <c r="A73" s="3">
        <v>18.893286</v>
      </c>
      <c r="B73" s="3">
        <v>47.730229000000001</v>
      </c>
      <c r="C73" s="3">
        <v>464.2</v>
      </c>
    </row>
    <row r="74" spans="1:3" x14ac:dyDescent="0.25">
      <c r="A74" s="3">
        <v>18.893471999999999</v>
      </c>
      <c r="B74" s="3">
        <v>47.730286999999997</v>
      </c>
      <c r="C74" s="3">
        <v>461.4</v>
      </c>
    </row>
    <row r="75" spans="1:3" x14ac:dyDescent="0.25">
      <c r="A75" s="3">
        <v>18.893937000000001</v>
      </c>
      <c r="B75" s="3">
        <v>47.730316000000002</v>
      </c>
      <c r="C75" s="3">
        <v>458.6</v>
      </c>
    </row>
    <row r="76" spans="1:3" x14ac:dyDescent="0.25">
      <c r="A76" s="3">
        <v>18.894705999999999</v>
      </c>
      <c r="B76" s="3">
        <v>47.730614000000003</v>
      </c>
      <c r="C76" s="3">
        <v>457.4</v>
      </c>
    </row>
    <row r="77" spans="1:3" x14ac:dyDescent="0.25">
      <c r="A77" s="3">
        <v>18.894223</v>
      </c>
      <c r="B77" s="3">
        <v>47.730901000000003</v>
      </c>
      <c r="C77" s="3">
        <v>457.6</v>
      </c>
    </row>
    <row r="78" spans="1:3" x14ac:dyDescent="0.25">
      <c r="A78" s="3">
        <v>18.894815999999999</v>
      </c>
      <c r="B78" s="3">
        <v>47.731150999999997</v>
      </c>
      <c r="C78" s="3">
        <v>458.6</v>
      </c>
    </row>
    <row r="79" spans="1:3" x14ac:dyDescent="0.25">
      <c r="A79" s="3">
        <v>18.894711999999998</v>
      </c>
      <c r="B79" s="3">
        <v>47.731366999999999</v>
      </c>
      <c r="C79" s="3">
        <v>459</v>
      </c>
    </row>
    <row r="80" spans="1:3" x14ac:dyDescent="0.25">
      <c r="A80" s="3">
        <v>18.894393999999998</v>
      </c>
      <c r="B80" s="3">
        <v>47.731625000000001</v>
      </c>
      <c r="C80" s="3">
        <v>459.4</v>
      </c>
    </row>
    <row r="81" spans="1:3" x14ac:dyDescent="0.25">
      <c r="A81" s="3">
        <v>18.894245999999999</v>
      </c>
      <c r="B81" s="3">
        <v>47.731997999999997</v>
      </c>
      <c r="C81" s="3">
        <v>457</v>
      </c>
    </row>
    <row r="82" spans="1:3" x14ac:dyDescent="0.25">
      <c r="A82" s="3">
        <v>18.893682999999999</v>
      </c>
      <c r="B82" s="3">
        <v>47.732382999999999</v>
      </c>
      <c r="C82" s="3">
        <v>450.6</v>
      </c>
    </row>
    <row r="83" spans="1:3" x14ac:dyDescent="0.25">
      <c r="A83" s="3">
        <v>18.893346999999999</v>
      </c>
      <c r="B83" s="3">
        <v>47.732767000000003</v>
      </c>
      <c r="C83" s="3">
        <v>444.2</v>
      </c>
    </row>
    <row r="84" spans="1:3" x14ac:dyDescent="0.25">
      <c r="A84" s="3">
        <v>18.892676999999999</v>
      </c>
      <c r="B84" s="3">
        <v>47.732742000000002</v>
      </c>
      <c r="C84" s="3">
        <v>436.4</v>
      </c>
    </row>
    <row r="85" spans="1:3" x14ac:dyDescent="0.25">
      <c r="A85" s="3">
        <v>18.892063</v>
      </c>
      <c r="B85" s="3">
        <v>47.732945000000001</v>
      </c>
      <c r="C85" s="3">
        <v>426.6</v>
      </c>
    </row>
    <row r="86" spans="1:3" x14ac:dyDescent="0.25">
      <c r="A86" s="3">
        <v>18.891537</v>
      </c>
      <c r="B86" s="3">
        <v>47.732954999999997</v>
      </c>
      <c r="C86" s="3">
        <v>418</v>
      </c>
    </row>
    <row r="87" spans="1:3" x14ac:dyDescent="0.25">
      <c r="A87" s="3">
        <v>18.890619999999998</v>
      </c>
      <c r="B87" s="3">
        <v>47.733673000000003</v>
      </c>
      <c r="C87" s="3">
        <v>414.6</v>
      </c>
    </row>
    <row r="88" spans="1:3" x14ac:dyDescent="0.25">
      <c r="A88" s="3">
        <v>18.890332000000001</v>
      </c>
      <c r="B88" s="3">
        <v>47.734096000000001</v>
      </c>
      <c r="C88" s="3">
        <v>411.2</v>
      </c>
    </row>
    <row r="89" spans="1:3" x14ac:dyDescent="0.25">
      <c r="A89" s="3">
        <v>18.890167000000002</v>
      </c>
      <c r="B89" s="3">
        <v>47.734526000000002</v>
      </c>
      <c r="C89" s="3">
        <v>409.8</v>
      </c>
    </row>
    <row r="90" spans="1:3" x14ac:dyDescent="0.25">
      <c r="A90" s="3">
        <v>18.889551999999998</v>
      </c>
      <c r="B90" s="3">
        <v>47.734985000000002</v>
      </c>
      <c r="C90" s="3">
        <v>411.8</v>
      </c>
    </row>
    <row r="91" spans="1:3" x14ac:dyDescent="0.25">
      <c r="A91" s="3">
        <v>18.889071999999999</v>
      </c>
      <c r="B91" s="3">
        <v>47.735216000000001</v>
      </c>
      <c r="C91" s="3">
        <v>413.2</v>
      </c>
    </row>
    <row r="92" spans="1:3" x14ac:dyDescent="0.25">
      <c r="A92" s="3">
        <v>18.887948000000002</v>
      </c>
      <c r="B92" s="3">
        <v>47.735560999999997</v>
      </c>
      <c r="C92" s="3">
        <v>415.4</v>
      </c>
    </row>
    <row r="93" spans="1:3" x14ac:dyDescent="0.25">
      <c r="A93" s="3">
        <v>18.887824999999999</v>
      </c>
      <c r="B93" s="3">
        <v>47.735740999999997</v>
      </c>
      <c r="C93" s="3">
        <v>417.6</v>
      </c>
    </row>
    <row r="94" spans="1:3" x14ac:dyDescent="0.25">
      <c r="A94" s="3">
        <v>18.887146000000001</v>
      </c>
      <c r="B94" s="3">
        <v>47.7363</v>
      </c>
      <c r="C94" s="3">
        <v>418.8</v>
      </c>
    </row>
    <row r="95" spans="1:3" x14ac:dyDescent="0.25">
      <c r="A95" s="3">
        <v>18.886568</v>
      </c>
      <c r="B95" s="3">
        <v>47.736818999999997</v>
      </c>
      <c r="C95" s="3">
        <v>418.6</v>
      </c>
    </row>
    <row r="96" spans="1:3" x14ac:dyDescent="0.25">
      <c r="A96" s="3">
        <v>18.887069</v>
      </c>
      <c r="B96" s="3">
        <v>47.736854999999998</v>
      </c>
      <c r="C96" s="3">
        <v>416.8</v>
      </c>
    </row>
    <row r="97" spans="1:3" x14ac:dyDescent="0.25">
      <c r="A97" s="3">
        <v>18.888189000000001</v>
      </c>
      <c r="B97" s="3">
        <v>47.737133999999998</v>
      </c>
      <c r="C97" s="3">
        <v>411.6</v>
      </c>
    </row>
    <row r="98" spans="1:3" x14ac:dyDescent="0.25">
      <c r="A98" s="3">
        <v>18.888323</v>
      </c>
      <c r="B98" s="3">
        <v>47.737170999999996</v>
      </c>
      <c r="C98" s="3">
        <v>406.4</v>
      </c>
    </row>
    <row r="99" spans="1:3" x14ac:dyDescent="0.25">
      <c r="A99" s="3">
        <v>18.888936000000001</v>
      </c>
      <c r="B99" s="3">
        <v>47.737591000000002</v>
      </c>
      <c r="C99" s="3">
        <v>399.2</v>
      </c>
    </row>
    <row r="100" spans="1:3" x14ac:dyDescent="0.25">
      <c r="A100" s="3">
        <v>18.890039999999999</v>
      </c>
      <c r="B100" s="3">
        <v>47.737769</v>
      </c>
      <c r="C100" s="3">
        <v>392</v>
      </c>
    </row>
    <row r="101" spans="1:3" x14ac:dyDescent="0.25">
      <c r="A101" s="3">
        <v>18.890391999999999</v>
      </c>
      <c r="B101" s="3">
        <v>47.737780000000001</v>
      </c>
      <c r="C101" s="3">
        <v>387</v>
      </c>
    </row>
    <row r="102" spans="1:3" x14ac:dyDescent="0.25">
      <c r="A102" s="3">
        <v>18.891332999999999</v>
      </c>
      <c r="B102" s="3">
        <v>47.737394000000002</v>
      </c>
      <c r="C102" s="3">
        <v>381.4</v>
      </c>
    </row>
    <row r="103" spans="1:3" x14ac:dyDescent="0.25">
      <c r="A103" s="3">
        <v>18.891817</v>
      </c>
      <c r="B103" s="3">
        <v>47.737397000000001</v>
      </c>
      <c r="C103" s="3">
        <v>376.4</v>
      </c>
    </row>
    <row r="104" spans="1:3" x14ac:dyDescent="0.25">
      <c r="A104" s="3">
        <v>18.892029000000001</v>
      </c>
      <c r="B104" s="3">
        <v>47.737490999999999</v>
      </c>
      <c r="C104" s="3">
        <v>373.8</v>
      </c>
    </row>
    <row r="105" spans="1:3" x14ac:dyDescent="0.25">
      <c r="A105" s="3">
        <v>18.892244999999999</v>
      </c>
      <c r="B105" s="3">
        <v>47.737845</v>
      </c>
      <c r="C105" s="3">
        <v>371.2</v>
      </c>
    </row>
    <row r="106" spans="1:3" x14ac:dyDescent="0.25">
      <c r="A106" s="3">
        <v>18.892365000000002</v>
      </c>
      <c r="B106" s="3">
        <v>47.738326000000001</v>
      </c>
      <c r="C106" s="3">
        <v>366.8</v>
      </c>
    </row>
    <row r="107" spans="1:3" x14ac:dyDescent="0.25">
      <c r="A107" s="3">
        <v>18.892398</v>
      </c>
      <c r="B107" s="3">
        <v>47.738995000000003</v>
      </c>
      <c r="C107" s="3">
        <v>365</v>
      </c>
    </row>
    <row r="108" spans="1:3" x14ac:dyDescent="0.25">
      <c r="A108" s="3">
        <v>18.892393999999999</v>
      </c>
      <c r="B108" s="3">
        <v>47.739314</v>
      </c>
      <c r="C108" s="3">
        <v>361.6</v>
      </c>
    </row>
    <row r="109" spans="1:3" x14ac:dyDescent="0.25">
      <c r="A109" s="3">
        <v>18.892327000000002</v>
      </c>
      <c r="B109" s="3">
        <v>47.739739</v>
      </c>
      <c r="C109" s="3">
        <v>357.4</v>
      </c>
    </row>
    <row r="110" spans="1:3" x14ac:dyDescent="0.25">
      <c r="A110" s="3">
        <v>18.892365000000002</v>
      </c>
      <c r="B110" s="3">
        <v>47.740139999999997</v>
      </c>
      <c r="C110" s="3">
        <v>351.4</v>
      </c>
    </row>
    <row r="111" spans="1:3" x14ac:dyDescent="0.25">
      <c r="A111" s="3">
        <v>18.891759</v>
      </c>
      <c r="B111" s="3">
        <v>47.740837999999997</v>
      </c>
      <c r="C111" s="3">
        <v>347.8</v>
      </c>
    </row>
    <row r="112" spans="1:3" x14ac:dyDescent="0.25">
      <c r="A112" s="3">
        <v>18.890291000000001</v>
      </c>
      <c r="B112" s="3">
        <v>47.742023000000003</v>
      </c>
      <c r="C112" s="3">
        <v>344.2</v>
      </c>
    </row>
    <row r="113" spans="1:3" x14ac:dyDescent="0.25">
      <c r="A113" s="3">
        <v>18.889907000000001</v>
      </c>
      <c r="B113" s="3">
        <v>47.742178000000003</v>
      </c>
      <c r="C113" s="3">
        <v>341.6</v>
      </c>
    </row>
    <row r="114" spans="1:3" x14ac:dyDescent="0.25">
      <c r="A114" s="3">
        <v>18.889569000000002</v>
      </c>
      <c r="B114" s="3">
        <v>47.742429999999999</v>
      </c>
      <c r="C114" s="3">
        <v>336.4</v>
      </c>
    </row>
    <row r="115" spans="1:3" x14ac:dyDescent="0.25">
      <c r="A115" s="3">
        <v>18.889496999999999</v>
      </c>
      <c r="B115" s="3">
        <v>47.742682000000002</v>
      </c>
      <c r="C115" s="3">
        <v>333</v>
      </c>
    </row>
    <row r="116" spans="1:3" x14ac:dyDescent="0.25">
      <c r="A116" s="3">
        <v>18.88954</v>
      </c>
      <c r="B116" s="3">
        <v>47.742812000000001</v>
      </c>
      <c r="C116" s="3">
        <v>329</v>
      </c>
    </row>
    <row r="117" spans="1:3" x14ac:dyDescent="0.25">
      <c r="A117" s="3">
        <v>18.889641000000001</v>
      </c>
      <c r="B117" s="3">
        <v>47.743115000000003</v>
      </c>
      <c r="C117" s="3">
        <v>319.60000000000002</v>
      </c>
    </row>
    <row r="118" spans="1:3" x14ac:dyDescent="0.25">
      <c r="A118" s="3">
        <v>18.889931000000001</v>
      </c>
      <c r="B118" s="3">
        <v>47.743380999999999</v>
      </c>
      <c r="C118" s="3">
        <v>312.2</v>
      </c>
    </row>
    <row r="119" spans="1:3" x14ac:dyDescent="0.25">
      <c r="A119" s="3">
        <v>18.890398000000001</v>
      </c>
      <c r="B119" s="3">
        <v>47.743530999999997</v>
      </c>
      <c r="C119" s="3">
        <v>308.8</v>
      </c>
    </row>
    <row r="120" spans="1:3" x14ac:dyDescent="0.25">
      <c r="A120" s="3">
        <v>18.890488999999999</v>
      </c>
      <c r="B120" s="3">
        <v>47.743777999999999</v>
      </c>
      <c r="C120" s="3">
        <v>305.39999999999998</v>
      </c>
    </row>
    <row r="121" spans="1:3" x14ac:dyDescent="0.25">
      <c r="A121" s="3">
        <v>18.890329000000001</v>
      </c>
      <c r="B121" s="3">
        <v>47.744041000000003</v>
      </c>
      <c r="C121" s="3">
        <v>302</v>
      </c>
    </row>
    <row r="122" spans="1:3" x14ac:dyDescent="0.25">
      <c r="A122" s="3">
        <v>18.890352</v>
      </c>
      <c r="B122" s="3">
        <v>47.744183999999997</v>
      </c>
      <c r="C122" s="3">
        <v>304.60000000000002</v>
      </c>
    </row>
    <row r="123" spans="1:3" x14ac:dyDescent="0.25">
      <c r="A123" s="3">
        <v>18.890291999999999</v>
      </c>
      <c r="B123" s="3">
        <v>47.744290999999997</v>
      </c>
      <c r="C123" s="3">
        <v>305.39999999999998</v>
      </c>
    </row>
    <row r="124" spans="1:3" x14ac:dyDescent="0.25">
      <c r="A124" s="3">
        <v>18.890111000000001</v>
      </c>
      <c r="B124" s="3">
        <v>47.744387000000003</v>
      </c>
      <c r="C124" s="3">
        <v>306.2</v>
      </c>
    </row>
    <row r="125" spans="1:3" x14ac:dyDescent="0.25">
      <c r="A125" s="3">
        <v>18.889219000000001</v>
      </c>
      <c r="B125" s="3">
        <v>47.744287</v>
      </c>
      <c r="C125" s="3">
        <v>304.60000000000002</v>
      </c>
    </row>
    <row r="126" spans="1:3" x14ac:dyDescent="0.25">
      <c r="A126" s="3">
        <v>18.888718999999998</v>
      </c>
      <c r="B126" s="3">
        <v>47.744399000000001</v>
      </c>
      <c r="C126" s="3">
        <v>301.2</v>
      </c>
    </row>
    <row r="127" spans="1:3" x14ac:dyDescent="0.25">
      <c r="A127" s="3">
        <v>18.888625000000001</v>
      </c>
      <c r="B127" s="3">
        <v>47.744472999999999</v>
      </c>
      <c r="C127" s="3">
        <v>297.2</v>
      </c>
    </row>
    <row r="128" spans="1:3" x14ac:dyDescent="0.25">
      <c r="A128" s="3">
        <v>18.888681999999999</v>
      </c>
      <c r="B128" s="3">
        <v>47.744588999999998</v>
      </c>
      <c r="C128" s="3">
        <v>291.60000000000002</v>
      </c>
    </row>
    <row r="129" spans="1:3" x14ac:dyDescent="0.25">
      <c r="A129" s="3">
        <v>18.888926999999999</v>
      </c>
      <c r="B129" s="3">
        <v>47.744729999999997</v>
      </c>
      <c r="C129" s="3">
        <v>283.8</v>
      </c>
    </row>
    <row r="130" spans="1:3" x14ac:dyDescent="0.25">
      <c r="A130" s="3">
        <v>18.889250000000001</v>
      </c>
      <c r="B130" s="3">
        <v>47.744824999999999</v>
      </c>
      <c r="C130" s="3">
        <v>278.39999999999998</v>
      </c>
    </row>
    <row r="131" spans="1:3" x14ac:dyDescent="0.25">
      <c r="A131" s="3">
        <v>18.890339999999998</v>
      </c>
      <c r="B131" s="3">
        <v>47.745012000000003</v>
      </c>
      <c r="C131" s="3">
        <v>274.39999999999998</v>
      </c>
    </row>
    <row r="132" spans="1:3" x14ac:dyDescent="0.25">
      <c r="A132" s="3">
        <v>18.891739000000001</v>
      </c>
      <c r="B132" s="3">
        <v>47.744779000000001</v>
      </c>
      <c r="C132" s="3">
        <v>270.39999999999998</v>
      </c>
    </row>
    <row r="133" spans="1:3" x14ac:dyDescent="0.25">
      <c r="A133" s="3">
        <v>18.892009000000002</v>
      </c>
      <c r="B133" s="3">
        <v>47.744677000000003</v>
      </c>
      <c r="C133" s="3">
        <v>265.8</v>
      </c>
    </row>
    <row r="134" spans="1:3" x14ac:dyDescent="0.25">
      <c r="A134" s="3">
        <v>18.892527999999999</v>
      </c>
      <c r="B134" s="3">
        <v>47.744633</v>
      </c>
      <c r="C134" s="3">
        <v>263.39999999999998</v>
      </c>
    </row>
    <row r="135" spans="1:3" x14ac:dyDescent="0.25">
      <c r="A135" s="3">
        <v>18.892758000000001</v>
      </c>
      <c r="B135" s="3">
        <v>47.744734999999999</v>
      </c>
      <c r="C135" s="3">
        <v>261.39999999999998</v>
      </c>
    </row>
    <row r="136" spans="1:3" x14ac:dyDescent="0.25">
      <c r="A136" s="3">
        <v>18.894204999999999</v>
      </c>
      <c r="B136" s="3">
        <v>47.745001999999999</v>
      </c>
      <c r="C136" s="3">
        <v>259.8</v>
      </c>
    </row>
    <row r="137" spans="1:3" x14ac:dyDescent="0.25">
      <c r="A137" s="3">
        <v>18.894371</v>
      </c>
      <c r="B137" s="3">
        <v>47.745128999999999</v>
      </c>
      <c r="C137" s="3">
        <v>254.6</v>
      </c>
    </row>
    <row r="138" spans="1:3" x14ac:dyDescent="0.25">
      <c r="A138" s="3">
        <v>18.894770999999999</v>
      </c>
      <c r="B138" s="3">
        <v>47.745190000000001</v>
      </c>
      <c r="C138" s="3">
        <v>249.8</v>
      </c>
    </row>
    <row r="139" spans="1:3" x14ac:dyDescent="0.25">
      <c r="A139" s="3">
        <v>18.895249</v>
      </c>
      <c r="B139" s="3">
        <v>47.745334999999997</v>
      </c>
      <c r="C139" s="3">
        <v>243.8</v>
      </c>
    </row>
    <row r="140" spans="1:3" x14ac:dyDescent="0.25">
      <c r="A140" s="3">
        <v>18.896132000000001</v>
      </c>
      <c r="B140" s="3">
        <v>47.745601999999998</v>
      </c>
      <c r="C140" s="3">
        <v>237.4</v>
      </c>
    </row>
    <row r="141" spans="1:3" x14ac:dyDescent="0.25">
      <c r="A141" s="3">
        <v>18.896867</v>
      </c>
      <c r="B141" s="3">
        <v>47.745618999999998</v>
      </c>
      <c r="C141" s="3">
        <v>231</v>
      </c>
    </row>
    <row r="142" spans="1:3" x14ac:dyDescent="0.25">
      <c r="A142" s="3">
        <v>18.897145999999999</v>
      </c>
      <c r="B142" s="3">
        <v>47.745663999999998</v>
      </c>
      <c r="C142" s="3">
        <v>228</v>
      </c>
    </row>
    <row r="143" spans="1:3" x14ac:dyDescent="0.25">
      <c r="A143" s="3">
        <v>18.897545000000001</v>
      </c>
      <c r="B143" s="3">
        <v>47.745542999999998</v>
      </c>
      <c r="C143" s="3">
        <v>226.6</v>
      </c>
    </row>
    <row r="144" spans="1:3" x14ac:dyDescent="0.25">
      <c r="A144" s="3">
        <v>18.8978</v>
      </c>
      <c r="B144" s="3">
        <v>47.745564999999999</v>
      </c>
      <c r="C144" s="3">
        <v>226</v>
      </c>
    </row>
    <row r="145" spans="1:3" x14ac:dyDescent="0.25">
      <c r="A145" s="3">
        <v>18.898339</v>
      </c>
      <c r="B145" s="3">
        <v>47.745811000000003</v>
      </c>
      <c r="C145" s="3">
        <v>225.4</v>
      </c>
    </row>
    <row r="146" spans="1:3" x14ac:dyDescent="0.25">
      <c r="A146" s="3">
        <v>18.898488</v>
      </c>
      <c r="B146" s="3">
        <v>47.745818</v>
      </c>
      <c r="C146" s="3">
        <v>225.8</v>
      </c>
    </row>
    <row r="147" spans="1:3" x14ac:dyDescent="0.25">
      <c r="A147" s="3">
        <v>18.898833</v>
      </c>
      <c r="B147" s="3">
        <v>47.745946000000004</v>
      </c>
      <c r="C147" s="3">
        <v>222.8</v>
      </c>
    </row>
    <row r="148" spans="1:3" x14ac:dyDescent="0.25">
      <c r="A148" s="3">
        <v>18.899360999999999</v>
      </c>
      <c r="B148" s="3">
        <v>47.745995000000001</v>
      </c>
      <c r="C148" s="3">
        <v>219.8</v>
      </c>
    </row>
    <row r="149" spans="1:3" x14ac:dyDescent="0.25">
      <c r="A149" s="3">
        <v>18.899626999999999</v>
      </c>
      <c r="B149" s="3">
        <v>47.746113999999999</v>
      </c>
      <c r="C149" s="3">
        <v>217</v>
      </c>
    </row>
    <row r="150" spans="1:3" x14ac:dyDescent="0.25">
      <c r="A150" s="3">
        <v>18.899833999999998</v>
      </c>
      <c r="B150" s="3">
        <v>47.746462999999999</v>
      </c>
      <c r="C150" s="3">
        <v>214.2</v>
      </c>
    </row>
    <row r="151" spans="1:3" x14ac:dyDescent="0.25">
      <c r="A151" s="3">
        <v>18.90005</v>
      </c>
      <c r="B151" s="3">
        <v>47.746603999999998</v>
      </c>
      <c r="C151" s="3">
        <v>210.8</v>
      </c>
    </row>
    <row r="152" spans="1:3" x14ac:dyDescent="0.25">
      <c r="A152" s="3">
        <v>18.900463999999999</v>
      </c>
      <c r="B152" s="3">
        <v>47.746760000000002</v>
      </c>
      <c r="C152" s="3">
        <v>208</v>
      </c>
    </row>
    <row r="153" spans="1:3" x14ac:dyDescent="0.25">
      <c r="A153" s="3">
        <v>18.900587000000002</v>
      </c>
      <c r="B153" s="3">
        <v>47.746955999999997</v>
      </c>
      <c r="C153" s="3">
        <v>207</v>
      </c>
    </row>
    <row r="154" spans="1:3" x14ac:dyDescent="0.25">
      <c r="A154" s="3">
        <v>18.901033000000002</v>
      </c>
      <c r="B154" s="3">
        <v>47.747298999999998</v>
      </c>
      <c r="C154" s="3">
        <v>203.2</v>
      </c>
    </row>
    <row r="155" spans="1:3" x14ac:dyDescent="0.25">
      <c r="A155" s="3">
        <v>18.901989</v>
      </c>
      <c r="B155" s="3">
        <v>47.747573000000003</v>
      </c>
      <c r="C155" s="3">
        <v>201.4</v>
      </c>
    </row>
    <row r="156" spans="1:3" x14ac:dyDescent="0.25">
      <c r="A156" s="3">
        <v>18.903051000000001</v>
      </c>
      <c r="B156" s="3">
        <v>47.747450000000001</v>
      </c>
      <c r="C156" s="3">
        <v>199.2</v>
      </c>
    </row>
    <row r="157" spans="1:3" x14ac:dyDescent="0.25">
      <c r="A157" s="3">
        <v>18.902887</v>
      </c>
      <c r="B157" s="3">
        <v>47.747143000000001</v>
      </c>
      <c r="C157" s="3">
        <v>201</v>
      </c>
    </row>
    <row r="158" spans="1:3" x14ac:dyDescent="0.25">
      <c r="A158" s="3">
        <v>18.902884</v>
      </c>
      <c r="B158" s="3">
        <v>47.746845999999998</v>
      </c>
      <c r="C158" s="3">
        <v>201</v>
      </c>
    </row>
    <row r="159" spans="1:3" x14ac:dyDescent="0.25">
      <c r="A159" s="3">
        <v>18.902757999999999</v>
      </c>
      <c r="B159" s="3">
        <v>47.746563000000002</v>
      </c>
      <c r="C159" s="3">
        <v>205.4</v>
      </c>
    </row>
    <row r="160" spans="1:3" x14ac:dyDescent="0.25">
      <c r="A160" s="3">
        <v>18.902729000000001</v>
      </c>
      <c r="B160" s="3">
        <v>47.746198999999997</v>
      </c>
      <c r="C160" s="3">
        <v>208.8</v>
      </c>
    </row>
    <row r="161" spans="1:3" x14ac:dyDescent="0.25">
      <c r="A161" s="3">
        <v>18.902585999999999</v>
      </c>
      <c r="B161" s="3">
        <v>47.745665000000002</v>
      </c>
      <c r="C161" s="3">
        <v>211.6</v>
      </c>
    </row>
    <row r="162" spans="1:3" x14ac:dyDescent="0.25">
      <c r="A162" s="3">
        <v>18.902494999999998</v>
      </c>
      <c r="B162" s="3">
        <v>47.744722000000003</v>
      </c>
      <c r="C162" s="3">
        <v>213.4</v>
      </c>
    </row>
    <row r="163" spans="1:3" x14ac:dyDescent="0.25">
      <c r="A163" s="3">
        <v>18.902293</v>
      </c>
      <c r="B163" s="3">
        <v>47.744549999999997</v>
      </c>
      <c r="C163" s="3">
        <v>215.2</v>
      </c>
    </row>
    <row r="164" spans="1:3" x14ac:dyDescent="0.25">
      <c r="A164" s="3">
        <v>18.902083000000001</v>
      </c>
      <c r="B164" s="3">
        <v>47.744169999999997</v>
      </c>
      <c r="C164" s="3">
        <v>217.2</v>
      </c>
    </row>
    <row r="165" spans="1:3" x14ac:dyDescent="0.25">
      <c r="A165" s="3">
        <v>18.901948000000001</v>
      </c>
      <c r="B165" s="3">
        <v>47.744053000000001</v>
      </c>
      <c r="C165" s="3">
        <v>218.2</v>
      </c>
    </row>
    <row r="166" spans="1:3" x14ac:dyDescent="0.25">
      <c r="A166" s="3">
        <v>18.901745999999999</v>
      </c>
      <c r="B166" s="3">
        <v>47.743994000000001</v>
      </c>
      <c r="C166" s="3">
        <v>221.6</v>
      </c>
    </row>
    <row r="167" spans="1:3" x14ac:dyDescent="0.25">
      <c r="A167" s="3">
        <v>18.901177000000001</v>
      </c>
      <c r="B167" s="3">
        <v>47.743999000000002</v>
      </c>
      <c r="C167" s="3">
        <v>226.4</v>
      </c>
    </row>
    <row r="168" spans="1:3" x14ac:dyDescent="0.25">
      <c r="A168" s="3">
        <v>18.900587000000002</v>
      </c>
      <c r="B168" s="3">
        <v>47.744227000000002</v>
      </c>
      <c r="C168" s="3">
        <v>233.2</v>
      </c>
    </row>
    <row r="169" spans="1:3" x14ac:dyDescent="0.25">
      <c r="A169" s="3">
        <v>18.899743000000001</v>
      </c>
      <c r="B169" s="3">
        <v>47.744335999999997</v>
      </c>
      <c r="C169" s="3">
        <v>238.4</v>
      </c>
    </row>
    <row r="170" spans="1:3" x14ac:dyDescent="0.25">
      <c r="A170" s="3">
        <v>18.899158</v>
      </c>
      <c r="B170" s="3">
        <v>47.744256999999998</v>
      </c>
      <c r="C170" s="3">
        <v>244.4</v>
      </c>
    </row>
    <row r="171" spans="1:3" x14ac:dyDescent="0.25">
      <c r="A171" s="3">
        <v>18.898613000000001</v>
      </c>
      <c r="B171" s="3">
        <v>47.744081999999999</v>
      </c>
      <c r="C171" s="3">
        <v>248.6</v>
      </c>
    </row>
    <row r="172" spans="1:3" x14ac:dyDescent="0.25">
      <c r="A172" s="3">
        <v>18.898343000000001</v>
      </c>
      <c r="B172" s="3">
        <v>47.743839999999999</v>
      </c>
      <c r="C172" s="3">
        <v>253</v>
      </c>
    </row>
    <row r="173" spans="1:3" x14ac:dyDescent="0.25">
      <c r="A173" s="3">
        <v>18.898343000000001</v>
      </c>
      <c r="B173" s="3">
        <v>47.743360000000003</v>
      </c>
      <c r="C173" s="3">
        <v>259</v>
      </c>
    </row>
    <row r="174" spans="1:3" x14ac:dyDescent="0.25">
      <c r="A174" s="3">
        <v>18.898197</v>
      </c>
      <c r="B174" s="3">
        <v>47.743239000000003</v>
      </c>
      <c r="C174" s="3">
        <v>267.60000000000002</v>
      </c>
    </row>
    <row r="175" spans="1:3" x14ac:dyDescent="0.25">
      <c r="A175" s="3">
        <v>18.897745</v>
      </c>
      <c r="B175" s="3">
        <v>47.743091</v>
      </c>
      <c r="C175" s="3">
        <v>276.60000000000002</v>
      </c>
    </row>
    <row r="176" spans="1:3" x14ac:dyDescent="0.25">
      <c r="A176" s="3">
        <v>18.896657999999999</v>
      </c>
      <c r="B176" s="3">
        <v>47.742612000000001</v>
      </c>
      <c r="C176" s="3">
        <v>287</v>
      </c>
    </row>
    <row r="177" spans="1:3" x14ac:dyDescent="0.25">
      <c r="A177" s="3">
        <v>18.895361999999999</v>
      </c>
      <c r="B177" s="3">
        <v>47.742226000000002</v>
      </c>
      <c r="C177" s="3">
        <v>301.8</v>
      </c>
    </row>
    <row r="178" spans="1:3" x14ac:dyDescent="0.25">
      <c r="A178" s="3">
        <v>18.894734</v>
      </c>
      <c r="B178" s="3">
        <v>47.741875</v>
      </c>
      <c r="C178" s="3">
        <v>314.60000000000002</v>
      </c>
    </row>
    <row r="179" spans="1:3" x14ac:dyDescent="0.25">
      <c r="A179" s="3">
        <v>18.894524000000001</v>
      </c>
      <c r="B179" s="3">
        <v>47.741455999999999</v>
      </c>
      <c r="C179" s="3">
        <v>324.8</v>
      </c>
    </row>
    <row r="180" spans="1:3" x14ac:dyDescent="0.25">
      <c r="A180" s="3">
        <v>18.893934999999999</v>
      </c>
      <c r="B180" s="3">
        <v>47.739445000000003</v>
      </c>
      <c r="C180" s="3">
        <v>333.8</v>
      </c>
    </row>
    <row r="181" spans="1:3" x14ac:dyDescent="0.25">
      <c r="A181" s="3">
        <v>18.893957</v>
      </c>
      <c r="B181" s="3">
        <v>47.738633999999998</v>
      </c>
      <c r="C181" s="3">
        <v>341.4</v>
      </c>
    </row>
    <row r="182" spans="1:3" x14ac:dyDescent="0.25">
      <c r="A182" s="3">
        <v>18.893699000000002</v>
      </c>
      <c r="B182" s="3">
        <v>47.738427000000001</v>
      </c>
      <c r="C182" s="3">
        <v>343</v>
      </c>
    </row>
    <row r="183" spans="1:3" x14ac:dyDescent="0.25">
      <c r="A183" s="3">
        <v>18.893847999999998</v>
      </c>
      <c r="B183" s="3">
        <v>47.738273</v>
      </c>
      <c r="C183" s="3">
        <v>343</v>
      </c>
    </row>
    <row r="184" spans="1:3" x14ac:dyDescent="0.25">
      <c r="A184" s="3">
        <v>18.893746</v>
      </c>
      <c r="B184" s="3">
        <v>47.738027000000002</v>
      </c>
      <c r="C184" s="3">
        <v>345.2</v>
      </c>
    </row>
    <row r="185" spans="1:3" x14ac:dyDescent="0.25">
      <c r="A185" s="3">
        <v>18.893768000000001</v>
      </c>
      <c r="B185" s="3">
        <v>47.737938</v>
      </c>
      <c r="C185" s="3">
        <v>347.4</v>
      </c>
    </row>
    <row r="186" spans="1:3" x14ac:dyDescent="0.25">
      <c r="A186" s="3">
        <v>18.893550000000001</v>
      </c>
      <c r="B186" s="3">
        <v>47.737935999999998</v>
      </c>
      <c r="C186" s="3">
        <v>349.6</v>
      </c>
    </row>
    <row r="187" spans="1:3" x14ac:dyDescent="0.25">
      <c r="A187" s="3">
        <v>18.893469</v>
      </c>
      <c r="B187" s="3">
        <v>47.737786</v>
      </c>
      <c r="C187" s="3">
        <v>354.6</v>
      </c>
    </row>
    <row r="188" spans="1:3" x14ac:dyDescent="0.25">
      <c r="A188" s="3">
        <v>18.893449</v>
      </c>
      <c r="B188" s="3">
        <v>47.737416000000003</v>
      </c>
      <c r="C188" s="3">
        <v>362.2</v>
      </c>
    </row>
    <row r="189" spans="1:3" x14ac:dyDescent="0.25">
      <c r="A189" s="3">
        <v>18.893352</v>
      </c>
      <c r="B189" s="3">
        <v>47.737327000000001</v>
      </c>
      <c r="C189" s="3">
        <v>367.6</v>
      </c>
    </row>
    <row r="190" spans="1:3" x14ac:dyDescent="0.25">
      <c r="A190" s="3">
        <v>18.892866000000001</v>
      </c>
      <c r="B190" s="3">
        <v>47.737316</v>
      </c>
      <c r="C190" s="3">
        <v>373</v>
      </c>
    </row>
    <row r="191" spans="1:3" x14ac:dyDescent="0.25">
      <c r="A191" s="3">
        <v>18.892040000000001</v>
      </c>
      <c r="B191" s="3">
        <v>47.737110000000001</v>
      </c>
      <c r="C191" s="3">
        <v>378.4</v>
      </c>
    </row>
    <row r="192" spans="1:3" x14ac:dyDescent="0.25">
      <c r="A192" s="3">
        <v>18.891918</v>
      </c>
      <c r="B192" s="3">
        <v>47.737150999999997</v>
      </c>
      <c r="C192" s="3">
        <v>382.6</v>
      </c>
    </row>
    <row r="193" spans="1:3" x14ac:dyDescent="0.25">
      <c r="A193" s="3">
        <v>18.891877000000001</v>
      </c>
      <c r="B193" s="3">
        <v>47.737118000000002</v>
      </c>
      <c r="C193" s="3">
        <v>384.2</v>
      </c>
    </row>
    <row r="194" spans="1:3" x14ac:dyDescent="0.25">
      <c r="A194" s="3">
        <v>18.891659000000001</v>
      </c>
      <c r="B194" s="3">
        <v>47.73715</v>
      </c>
      <c r="C194" s="3">
        <v>387</v>
      </c>
    </row>
    <row r="195" spans="1:3" x14ac:dyDescent="0.25">
      <c r="A195" s="3">
        <v>18.891698000000002</v>
      </c>
      <c r="B195" s="3">
        <v>47.737029999999997</v>
      </c>
      <c r="C195" s="3">
        <v>389.8</v>
      </c>
    </row>
    <row r="196" spans="1:3" x14ac:dyDescent="0.25">
      <c r="A196" s="3">
        <v>18.891414000000001</v>
      </c>
      <c r="B196" s="3">
        <v>47.737045000000002</v>
      </c>
      <c r="C196" s="3">
        <v>391.6</v>
      </c>
    </row>
    <row r="197" spans="1:3" x14ac:dyDescent="0.25">
      <c r="A197" s="3">
        <v>18.891207000000001</v>
      </c>
      <c r="B197" s="3">
        <v>47.736919999999998</v>
      </c>
      <c r="C197" s="3">
        <v>393</v>
      </c>
    </row>
    <row r="198" spans="1:3" x14ac:dyDescent="0.25">
      <c r="A198" s="3">
        <v>18.891006999999998</v>
      </c>
      <c r="B198" s="3">
        <v>47.736998999999997</v>
      </c>
      <c r="C198" s="3">
        <v>394.4</v>
      </c>
    </row>
    <row r="199" spans="1:3" x14ac:dyDescent="0.25">
      <c r="A199" s="3">
        <v>18.890623999999999</v>
      </c>
      <c r="B199" s="3">
        <v>47.737130000000001</v>
      </c>
      <c r="C199" s="3">
        <v>394.6</v>
      </c>
    </row>
    <row r="200" spans="1:3" x14ac:dyDescent="0.25">
      <c r="A200" s="3">
        <v>18.890239000000001</v>
      </c>
      <c r="B200" s="3">
        <v>47.737274999999997</v>
      </c>
      <c r="C200" s="3">
        <v>394.8</v>
      </c>
    </row>
    <row r="201" spans="1:3" x14ac:dyDescent="0.25">
      <c r="A201" s="3">
        <v>18.890205999999999</v>
      </c>
      <c r="B201" s="3">
        <v>47.737302</v>
      </c>
      <c r="C201" s="3">
        <v>396</v>
      </c>
    </row>
    <row r="202" spans="1:3" x14ac:dyDescent="0.25">
      <c r="A202" s="3">
        <v>18.890134</v>
      </c>
      <c r="B202" s="3">
        <v>47.737352999999999</v>
      </c>
      <c r="C202" s="3">
        <v>398</v>
      </c>
    </row>
    <row r="203" spans="1:3" x14ac:dyDescent="0.25">
      <c r="A203" s="3">
        <v>18.88992</v>
      </c>
      <c r="B203" s="3">
        <v>47.737406999999997</v>
      </c>
      <c r="C203" s="3">
        <v>402.2</v>
      </c>
    </row>
    <row r="204" spans="1:3" x14ac:dyDescent="0.25">
      <c r="A204" s="3">
        <v>18.889890999999999</v>
      </c>
      <c r="B204" s="3">
        <v>47.737346000000002</v>
      </c>
      <c r="C204" s="3">
        <v>406.4</v>
      </c>
    </row>
    <row r="205" spans="1:3" x14ac:dyDescent="0.25">
      <c r="A205" s="3">
        <v>18.889555000000001</v>
      </c>
      <c r="B205" s="3">
        <v>47.737386999999998</v>
      </c>
      <c r="C205" s="3">
        <v>410.6</v>
      </c>
    </row>
    <row r="206" spans="1:3" x14ac:dyDescent="0.25">
      <c r="A206" s="3">
        <v>18.888472</v>
      </c>
      <c r="B206" s="3">
        <v>47.737107999999999</v>
      </c>
      <c r="C206" s="3">
        <v>415.8</v>
      </c>
    </row>
    <row r="207" spans="1:3" x14ac:dyDescent="0.25">
      <c r="A207" s="3">
        <v>18.888323</v>
      </c>
      <c r="B207" s="3">
        <v>47.737170999999996</v>
      </c>
      <c r="C207" s="3">
        <v>419</v>
      </c>
    </row>
    <row r="208" spans="1:3" x14ac:dyDescent="0.25">
      <c r="A208" s="3">
        <v>18.888189000000001</v>
      </c>
      <c r="B208" s="3">
        <v>47.737133999999998</v>
      </c>
      <c r="C208" s="3">
        <v>420</v>
      </c>
    </row>
    <row r="209" spans="1:3" x14ac:dyDescent="0.25">
      <c r="A209" s="3">
        <v>18.887069</v>
      </c>
      <c r="B209" s="3">
        <v>47.736854999999998</v>
      </c>
      <c r="C209" s="3">
        <v>422</v>
      </c>
    </row>
    <row r="210" spans="1:3" x14ac:dyDescent="0.25">
      <c r="A210" s="3">
        <v>18.886568</v>
      </c>
      <c r="B210" s="3">
        <v>47.736818999999997</v>
      </c>
      <c r="C210" s="3">
        <v>424</v>
      </c>
    </row>
    <row r="211" spans="1:3" x14ac:dyDescent="0.25">
      <c r="A211" s="3">
        <v>18.886415</v>
      </c>
      <c r="B211" s="3">
        <v>47.736817000000002</v>
      </c>
      <c r="C211" s="3">
        <v>425</v>
      </c>
    </row>
    <row r="212" spans="1:3" x14ac:dyDescent="0.25">
      <c r="A212" s="3">
        <v>18.886082999999999</v>
      </c>
      <c r="B212" s="3">
        <v>47.736761999999999</v>
      </c>
      <c r="C212" s="3">
        <v>427.6</v>
      </c>
    </row>
    <row r="213" spans="1:3" x14ac:dyDescent="0.25">
      <c r="A213" s="3">
        <v>18.886129</v>
      </c>
      <c r="B213" s="3">
        <v>47.736566000000003</v>
      </c>
      <c r="C213" s="3">
        <v>435</v>
      </c>
    </row>
    <row r="214" spans="1:3" x14ac:dyDescent="0.25">
      <c r="A214" s="3">
        <v>18.885956</v>
      </c>
      <c r="B214" s="3">
        <v>47.736493000000003</v>
      </c>
      <c r="C214" s="3">
        <v>441.6</v>
      </c>
    </row>
    <row r="215" spans="1:3" x14ac:dyDescent="0.25">
      <c r="A215" s="3">
        <v>18.885110999999998</v>
      </c>
      <c r="B215" s="3">
        <v>47.736269999999998</v>
      </c>
      <c r="C215" s="3">
        <v>446.4</v>
      </c>
    </row>
    <row r="216" spans="1:3" x14ac:dyDescent="0.25">
      <c r="A216" s="3">
        <v>18.883779000000001</v>
      </c>
      <c r="B216" s="3">
        <v>47.736147000000003</v>
      </c>
      <c r="C216" s="3">
        <v>458.6</v>
      </c>
    </row>
    <row r="217" spans="1:3" x14ac:dyDescent="0.25">
      <c r="A217" s="3">
        <v>18.882742</v>
      </c>
      <c r="B217" s="3">
        <v>47.735961000000003</v>
      </c>
      <c r="C217" s="3">
        <v>467.2</v>
      </c>
    </row>
    <row r="218" spans="1:3" x14ac:dyDescent="0.25">
      <c r="A218" s="3">
        <v>18.881853</v>
      </c>
      <c r="B218" s="3">
        <v>47.735626000000003</v>
      </c>
      <c r="C218" s="3">
        <v>474.6</v>
      </c>
    </row>
    <row r="219" spans="1:3" x14ac:dyDescent="0.25">
      <c r="A219" s="3">
        <v>18.881353000000001</v>
      </c>
      <c r="B219" s="3">
        <v>47.735275000000001</v>
      </c>
      <c r="C219" s="3">
        <v>485.4</v>
      </c>
    </row>
    <row r="220" spans="1:3" x14ac:dyDescent="0.25">
      <c r="A220" s="3">
        <v>18.880953999999999</v>
      </c>
      <c r="B220" s="3">
        <v>47.734687000000001</v>
      </c>
      <c r="C220" s="3">
        <v>499.6</v>
      </c>
    </row>
    <row r="221" spans="1:3" x14ac:dyDescent="0.25">
      <c r="A221" s="3">
        <v>18.880759000000001</v>
      </c>
      <c r="B221" s="3">
        <v>47.733786000000002</v>
      </c>
      <c r="C221" s="3">
        <v>510.2</v>
      </c>
    </row>
    <row r="222" spans="1:3" x14ac:dyDescent="0.25">
      <c r="A222" s="3">
        <v>18.880803</v>
      </c>
      <c r="B222" s="3">
        <v>47.733719999999998</v>
      </c>
      <c r="C222" s="3">
        <v>526.4</v>
      </c>
    </row>
    <row r="223" spans="1:3" x14ac:dyDescent="0.25">
      <c r="A223" s="3">
        <v>18.881086</v>
      </c>
      <c r="B223" s="3">
        <v>47.732726</v>
      </c>
      <c r="C223" s="3">
        <v>538.20000000000005</v>
      </c>
    </row>
    <row r="224" spans="1:3" x14ac:dyDescent="0.25">
      <c r="A224" s="3">
        <v>18.881497</v>
      </c>
      <c r="B224" s="3">
        <v>47.731777999999998</v>
      </c>
      <c r="C224" s="3">
        <v>551</v>
      </c>
    </row>
    <row r="225" spans="1:3" x14ac:dyDescent="0.25">
      <c r="A225" s="3">
        <v>18.882587000000001</v>
      </c>
      <c r="B225" s="3">
        <v>47.730677999999997</v>
      </c>
      <c r="C225" s="3">
        <v>566</v>
      </c>
    </row>
    <row r="226" spans="1:3" x14ac:dyDescent="0.25">
      <c r="A226" s="3">
        <v>18.882919999999999</v>
      </c>
      <c r="B226" s="3">
        <v>47.730491000000001</v>
      </c>
      <c r="C226" s="3">
        <v>577.20000000000005</v>
      </c>
    </row>
    <row r="227" spans="1:3" x14ac:dyDescent="0.25">
      <c r="A227" s="3">
        <v>18.884231</v>
      </c>
      <c r="B227" s="3">
        <v>47.729627000000001</v>
      </c>
      <c r="C227" s="3">
        <v>586.6</v>
      </c>
    </row>
    <row r="228" spans="1:3" x14ac:dyDescent="0.25">
      <c r="A228" s="3">
        <v>18.884314</v>
      </c>
      <c r="B228" s="3">
        <v>47.729382000000001</v>
      </c>
      <c r="C228" s="3">
        <v>600</v>
      </c>
    </row>
    <row r="229" spans="1:3" x14ac:dyDescent="0.25">
      <c r="A229" s="3">
        <v>18.884163000000001</v>
      </c>
      <c r="B229" s="3">
        <v>47.72907</v>
      </c>
      <c r="C229" s="3">
        <v>608.79999999999995</v>
      </c>
    </row>
    <row r="230" spans="1:3" x14ac:dyDescent="0.25">
      <c r="A230" s="3">
        <v>18.884191000000001</v>
      </c>
      <c r="B230" s="3">
        <v>47.728695999999999</v>
      </c>
      <c r="C230" s="3">
        <v>619.4</v>
      </c>
    </row>
    <row r="231" spans="1:3" x14ac:dyDescent="0.25">
      <c r="A231" s="3">
        <v>18.884732</v>
      </c>
      <c r="B231" s="3">
        <v>47.727704000000003</v>
      </c>
      <c r="C231" s="3">
        <v>630</v>
      </c>
    </row>
    <row r="232" spans="1:3" x14ac:dyDescent="0.25">
      <c r="A232" s="3">
        <v>18.885335999999999</v>
      </c>
      <c r="B232" s="3">
        <v>47.727238999999997</v>
      </c>
      <c r="C232" s="3">
        <v>638.79999999999995</v>
      </c>
    </row>
    <row r="233" spans="1:3" x14ac:dyDescent="0.25">
      <c r="A233" s="3">
        <v>18.885598999999999</v>
      </c>
      <c r="B233" s="3">
        <v>47.726723</v>
      </c>
      <c r="C233" s="3">
        <v>649.79999999999995</v>
      </c>
    </row>
    <row r="234" spans="1:3" x14ac:dyDescent="0.25">
      <c r="A234" s="3">
        <v>18.885411000000001</v>
      </c>
      <c r="B234" s="3">
        <v>47.726509</v>
      </c>
      <c r="C234" s="3">
        <v>659</v>
      </c>
    </row>
    <row r="235" spans="1:3" x14ac:dyDescent="0.25">
      <c r="A235" s="3">
        <v>18.885338000000001</v>
      </c>
      <c r="B235" s="3">
        <v>47.726191</v>
      </c>
      <c r="C235" s="3">
        <v>666.8</v>
      </c>
    </row>
    <row r="236" spans="1:3" x14ac:dyDescent="0.25">
      <c r="A236" s="3">
        <v>18.887775999999999</v>
      </c>
      <c r="B236" s="3">
        <v>47.724884000000003</v>
      </c>
      <c r="C236" s="3">
        <v>673</v>
      </c>
    </row>
    <row r="237" spans="1:3" x14ac:dyDescent="0.25">
      <c r="A237" s="3">
        <v>18.888176000000001</v>
      </c>
      <c r="B237" s="3">
        <v>47.724739</v>
      </c>
      <c r="C237" s="3">
        <v>679.2</v>
      </c>
    </row>
    <row r="238" spans="1:3" x14ac:dyDescent="0.25">
      <c r="A238" s="3">
        <v>18.888517</v>
      </c>
      <c r="B238" s="3">
        <v>47.724502000000001</v>
      </c>
      <c r="C238" s="3">
        <v>683</v>
      </c>
    </row>
    <row r="239" spans="1:3" x14ac:dyDescent="0.25">
      <c r="A239" s="3">
        <v>18.888915000000001</v>
      </c>
      <c r="B239" s="3">
        <v>47.724069</v>
      </c>
      <c r="C239" s="3">
        <v>687.6</v>
      </c>
    </row>
    <row r="240" spans="1:3" x14ac:dyDescent="0.25">
      <c r="A240" s="3">
        <v>18.889150000000001</v>
      </c>
      <c r="B240" s="3">
        <v>47.723793999999998</v>
      </c>
      <c r="C240" s="3">
        <v>686</v>
      </c>
    </row>
    <row r="241" spans="1:3" x14ac:dyDescent="0.25">
      <c r="A241" s="3">
        <v>18.889561</v>
      </c>
      <c r="B241" s="3">
        <v>47.723520999999998</v>
      </c>
      <c r="C241" s="3">
        <v>686</v>
      </c>
    </row>
    <row r="242" spans="1:3" x14ac:dyDescent="0.25">
      <c r="A242" s="3">
        <v>18.890162</v>
      </c>
      <c r="B242" s="3">
        <v>47.723149999999997</v>
      </c>
      <c r="C242" s="3">
        <v>686</v>
      </c>
    </row>
    <row r="243" spans="1:3" x14ac:dyDescent="0.25">
      <c r="A243" s="3">
        <v>18.890557999999999</v>
      </c>
      <c r="B243" s="3">
        <v>47.722974000000001</v>
      </c>
      <c r="C243" s="3">
        <v>685.2</v>
      </c>
    </row>
    <row r="244" spans="1:3" x14ac:dyDescent="0.25">
      <c r="A244" s="3">
        <v>18.890813000000001</v>
      </c>
      <c r="B244" s="3">
        <v>47.722977</v>
      </c>
      <c r="C244" s="3">
        <v>685.4</v>
      </c>
    </row>
    <row r="245" spans="1:3" x14ac:dyDescent="0.25">
      <c r="A245" s="3">
        <v>18.891231999999999</v>
      </c>
      <c r="B245" s="3">
        <v>47.723094000000003</v>
      </c>
      <c r="C245" s="3">
        <v>687.6</v>
      </c>
    </row>
    <row r="246" spans="1:3" x14ac:dyDescent="0.25">
      <c r="A246" s="3">
        <v>18.891272000000001</v>
      </c>
      <c r="B246" s="3">
        <v>47.722866000000003</v>
      </c>
      <c r="C246" s="3">
        <v>691.4</v>
      </c>
    </row>
    <row r="247" spans="1:3" x14ac:dyDescent="0.25">
      <c r="A247" s="3">
        <v>18.891376999999999</v>
      </c>
      <c r="B247" s="3">
        <v>47.722363000000001</v>
      </c>
      <c r="C247" s="3">
        <v>695.2</v>
      </c>
    </row>
    <row r="248" spans="1:3" x14ac:dyDescent="0.25">
      <c r="A248" s="3">
        <v>18.891338999999999</v>
      </c>
      <c r="B248" s="3">
        <v>47.722115000000002</v>
      </c>
      <c r="C248" s="3">
        <v>696.8</v>
      </c>
    </row>
    <row r="249" spans="1:3" x14ac:dyDescent="0.25">
      <c r="A249" s="3">
        <v>18.891708000000001</v>
      </c>
      <c r="B249" s="3">
        <v>47.721736999999997</v>
      </c>
      <c r="C249" s="3">
        <v>698.2</v>
      </c>
    </row>
    <row r="250" spans="1:3" x14ac:dyDescent="0.25">
      <c r="A250" s="3">
        <v>18.891544</v>
      </c>
      <c r="B250" s="3">
        <v>47.721572999999999</v>
      </c>
      <c r="C250" s="3">
        <v>699.4</v>
      </c>
    </row>
    <row r="251" spans="1:3" x14ac:dyDescent="0.25">
      <c r="A251" s="3">
        <v>18.891514000000001</v>
      </c>
      <c r="B251" s="3">
        <v>47.721505000000001</v>
      </c>
      <c r="C251" s="3">
        <v>698.6</v>
      </c>
    </row>
    <row r="252" spans="1:3" x14ac:dyDescent="0.25">
      <c r="A252" s="3">
        <v>18.891665</v>
      </c>
      <c r="B252" s="3">
        <v>47.721196999999997</v>
      </c>
      <c r="C252" s="3">
        <v>697.8</v>
      </c>
    </row>
    <row r="253" spans="1:3" x14ac:dyDescent="0.25">
      <c r="A253" s="3">
        <v>18.892721999999999</v>
      </c>
      <c r="B253" s="3">
        <v>47.720754999999997</v>
      </c>
      <c r="C253" s="3">
        <v>697</v>
      </c>
    </row>
    <row r="254" spans="1:3" x14ac:dyDescent="0.25">
      <c r="A254" s="3">
        <v>18.892961</v>
      </c>
      <c r="B254" s="3">
        <v>47.720745000000001</v>
      </c>
      <c r="C254" s="3">
        <v>696.4</v>
      </c>
    </row>
    <row r="255" spans="1:3" x14ac:dyDescent="0.25">
      <c r="A255" s="3">
        <v>18.893194999999999</v>
      </c>
      <c r="B255" s="3">
        <v>47.720618000000002</v>
      </c>
      <c r="C255" s="3">
        <v>696.2</v>
      </c>
    </row>
    <row r="256" spans="1:3" x14ac:dyDescent="0.25">
      <c r="A256" s="3">
        <v>18.893353999999999</v>
      </c>
      <c r="B256" s="3">
        <v>47.720543999999997</v>
      </c>
      <c r="C256" s="3">
        <v>696.4</v>
      </c>
    </row>
    <row r="257" spans="1:3" x14ac:dyDescent="0.25">
      <c r="A257" s="3">
        <v>18.89349</v>
      </c>
      <c r="B257" s="3">
        <v>47.720467999999997</v>
      </c>
      <c r="C257" s="3">
        <v>697</v>
      </c>
    </row>
    <row r="258" spans="1:3" x14ac:dyDescent="0.25">
      <c r="A258" s="3">
        <v>18.893975999999999</v>
      </c>
      <c r="B258" s="3">
        <v>47.720284999999997</v>
      </c>
      <c r="C258" s="3">
        <v>696.8</v>
      </c>
    </row>
    <row r="259" spans="1:3" x14ac:dyDescent="0.25">
      <c r="A259" s="3">
        <v>18.894411999999999</v>
      </c>
      <c r="B259" s="3">
        <v>47.720157</v>
      </c>
      <c r="C259" s="3">
        <v>696.6</v>
      </c>
    </row>
    <row r="260" spans="1:3" x14ac:dyDescent="0.25">
      <c r="A260" s="3">
        <v>18.895081000000001</v>
      </c>
      <c r="B260" s="3">
        <v>47.720077000000003</v>
      </c>
      <c r="C260" s="3">
        <v>696</v>
      </c>
    </row>
    <row r="261" spans="1:3" x14ac:dyDescent="0.25">
      <c r="A261" s="3">
        <v>18.895505</v>
      </c>
      <c r="B261" s="3">
        <v>47.719898000000001</v>
      </c>
      <c r="C261" s="3">
        <v>696</v>
      </c>
    </row>
    <row r="262" spans="1:3" x14ac:dyDescent="0.25">
      <c r="A262" s="3">
        <v>18.895886999999998</v>
      </c>
      <c r="B262" s="3">
        <v>47.719709999999999</v>
      </c>
      <c r="C262" s="3">
        <v>695.6</v>
      </c>
    </row>
    <row r="263" spans="1:3" x14ac:dyDescent="0.25">
      <c r="A263" s="3">
        <v>18.896657000000001</v>
      </c>
      <c r="B263" s="3">
        <v>47.719701999999998</v>
      </c>
      <c r="C263" s="3">
        <v>695.6</v>
      </c>
    </row>
    <row r="264" spans="1:3" x14ac:dyDescent="0.25">
      <c r="A264" s="3">
        <v>18.897335000000002</v>
      </c>
      <c r="B264" s="3">
        <v>47.719892999999999</v>
      </c>
      <c r="C264" s="3">
        <v>695.6</v>
      </c>
    </row>
    <row r="265" spans="1:3" x14ac:dyDescent="0.25">
      <c r="A265" s="3">
        <v>18.897722999999999</v>
      </c>
      <c r="B265" s="3">
        <v>47.719856999999998</v>
      </c>
      <c r="C265" s="3">
        <v>695.6</v>
      </c>
    </row>
    <row r="266" spans="1:3" x14ac:dyDescent="0.25">
      <c r="A266" s="3">
        <v>18.898191000000001</v>
      </c>
      <c r="B266" s="3">
        <v>47.719799000000002</v>
      </c>
      <c r="C266" s="3">
        <v>695</v>
      </c>
    </row>
    <row r="267" spans="1:3" x14ac:dyDescent="0.25">
      <c r="A267" s="3">
        <v>18.898745000000002</v>
      </c>
      <c r="B267" s="3">
        <v>47.719844999999999</v>
      </c>
      <c r="C267" s="3">
        <v>694.4</v>
      </c>
    </row>
    <row r="268" spans="1:3" x14ac:dyDescent="0.25">
      <c r="A268" s="3">
        <v>18.898579999999999</v>
      </c>
      <c r="B268" s="3">
        <v>47.719540000000002</v>
      </c>
      <c r="C268" s="3">
        <v>694.2</v>
      </c>
    </row>
    <row r="269" spans="1:3" x14ac:dyDescent="0.25">
      <c r="A269" s="3">
        <v>18.898095999999999</v>
      </c>
      <c r="B269" s="3">
        <v>47.719088999999997</v>
      </c>
      <c r="C269" s="3">
        <v>694</v>
      </c>
    </row>
    <row r="270" spans="1:3" x14ac:dyDescent="0.25">
      <c r="A270" s="3">
        <v>18.898111</v>
      </c>
      <c r="B270" s="3">
        <v>47.718975999999998</v>
      </c>
      <c r="C270" s="3">
        <v>694</v>
      </c>
    </row>
    <row r="271" spans="1:3" x14ac:dyDescent="0.25">
      <c r="A271" s="3">
        <v>18.898015999999998</v>
      </c>
      <c r="B271" s="3">
        <v>47.718992999999998</v>
      </c>
      <c r="C271" s="3">
        <v>694</v>
      </c>
    </row>
    <row r="272" spans="1:3" x14ac:dyDescent="0.25">
      <c r="A272" s="3">
        <v>18.897742999999998</v>
      </c>
      <c r="B272" s="3">
        <v>47.719034999999998</v>
      </c>
      <c r="C272" s="3">
        <v>694</v>
      </c>
    </row>
    <row r="273" spans="1:3" x14ac:dyDescent="0.25">
      <c r="A273" s="3">
        <v>18.897411000000002</v>
      </c>
      <c r="B273" s="3">
        <v>47.719082999999998</v>
      </c>
      <c r="C273" s="3">
        <v>694</v>
      </c>
    </row>
    <row r="274" spans="1:3" x14ac:dyDescent="0.25">
      <c r="A274" s="3">
        <v>18.896998</v>
      </c>
      <c r="B274" s="3">
        <v>47.71913</v>
      </c>
      <c r="C274" s="3">
        <v>694</v>
      </c>
    </row>
    <row r="275" spans="1:3" x14ac:dyDescent="0.25">
      <c r="A275" s="3">
        <v>18.896896999999999</v>
      </c>
      <c r="B275" s="3">
        <v>47.719045000000001</v>
      </c>
      <c r="C275" s="3">
        <v>694</v>
      </c>
    </row>
    <row r="276" spans="1:3" x14ac:dyDescent="0.25">
      <c r="A276" s="3">
        <v>18.896847999999999</v>
      </c>
      <c r="B276" s="3">
        <v>47.719006999999998</v>
      </c>
      <c r="C276" s="3">
        <v>694</v>
      </c>
    </row>
    <row r="277" spans="1:3" x14ac:dyDescent="0.25">
      <c r="A277" s="3">
        <v>18.896771000000001</v>
      </c>
      <c r="B277" s="3">
        <v>47.718966000000002</v>
      </c>
      <c r="C277" s="3">
        <v>694</v>
      </c>
    </row>
    <row r="278" spans="1:3" x14ac:dyDescent="0.25">
      <c r="A278" s="3">
        <v>18.896861999999999</v>
      </c>
      <c r="B278" s="3">
        <v>47.718871999999998</v>
      </c>
      <c r="C278" s="3">
        <v>694</v>
      </c>
    </row>
    <row r="279" spans="1:3" x14ac:dyDescent="0.25">
      <c r="A279" s="3">
        <v>18.897171</v>
      </c>
      <c r="B279" s="3">
        <v>47.718845999999999</v>
      </c>
      <c r="C279" s="3">
        <v>694</v>
      </c>
    </row>
  </sheetData>
  <mergeCells count="2">
    <mergeCell ref="E7:F7"/>
    <mergeCell ref="E8:F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51DA-5CB8-4A0F-B6B8-6D8D5980D1B4}">
  <dimension ref="A1:J92"/>
  <sheetViews>
    <sheetView workbookViewId="0">
      <selection activeCell="H8" sqref="H8"/>
    </sheetView>
  </sheetViews>
  <sheetFormatPr defaultRowHeight="15" x14ac:dyDescent="0.25"/>
  <cols>
    <col min="1" max="1" width="5.140625" style="3" bestFit="1" customWidth="1"/>
    <col min="2" max="2" width="6.28515625" style="3" bestFit="1" customWidth="1"/>
    <col min="3" max="3" width="27.42578125" bestFit="1" customWidth="1"/>
    <col min="4" max="4" width="18.140625" bestFit="1" customWidth="1"/>
    <col min="5" max="5" width="81.140625" bestFit="1" customWidth="1"/>
    <col min="6" max="6" width="11.140625" bestFit="1" customWidth="1"/>
    <col min="7" max="7" width="12.5703125" style="3" bestFit="1" customWidth="1"/>
    <col min="8" max="8" width="16.7109375" style="3" bestFit="1" customWidth="1"/>
    <col min="9" max="9" width="12.140625" style="3" bestFit="1" customWidth="1"/>
    <col min="10" max="10" width="13.85546875" style="3" bestFit="1" customWidth="1"/>
  </cols>
  <sheetData>
    <row r="1" spans="1:10" s="2" customFormat="1" ht="44.25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5" t="s">
        <v>67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 x14ac:dyDescent="0.25">
      <c r="A2" s="3">
        <v>0</v>
      </c>
      <c r="B2" s="3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4" t="s">
        <v>15</v>
      </c>
      <c r="H2" s="4" t="s">
        <v>15</v>
      </c>
      <c r="I2" s="4" t="s">
        <v>15</v>
      </c>
      <c r="J2" s="4" t="s">
        <v>15</v>
      </c>
    </row>
    <row r="3" spans="1:10" x14ac:dyDescent="0.25">
      <c r="A3" s="3">
        <v>0.1</v>
      </c>
      <c r="B3" s="3">
        <v>1</v>
      </c>
      <c r="C3" s="1" t="s">
        <v>16</v>
      </c>
      <c r="D3" s="1" t="s">
        <v>13</v>
      </c>
      <c r="E3" s="1" t="s">
        <v>17</v>
      </c>
      <c r="F3" s="1" t="s">
        <v>15</v>
      </c>
      <c r="G3" s="4" t="s">
        <v>15</v>
      </c>
      <c r="H3" s="4" t="s">
        <v>15</v>
      </c>
      <c r="I3" s="4" t="s">
        <v>15</v>
      </c>
      <c r="J3" s="4" t="s">
        <v>15</v>
      </c>
    </row>
    <row r="4" spans="1:10" x14ac:dyDescent="0.25">
      <c r="A4" s="3">
        <v>0.1</v>
      </c>
      <c r="B4" s="3">
        <v>1</v>
      </c>
      <c r="C4" s="1" t="s">
        <v>18</v>
      </c>
      <c r="D4" s="1" t="s">
        <v>19</v>
      </c>
      <c r="E4" s="1" t="s">
        <v>17</v>
      </c>
      <c r="F4" s="1" t="s">
        <v>15</v>
      </c>
      <c r="G4" s="4" t="s">
        <v>15</v>
      </c>
      <c r="H4" s="4" t="s">
        <v>15</v>
      </c>
      <c r="I4" s="4" t="s">
        <v>15</v>
      </c>
      <c r="J4" s="4" t="s">
        <v>15</v>
      </c>
    </row>
    <row r="5" spans="1:10" x14ac:dyDescent="0.25">
      <c r="A5" s="3">
        <v>0.1</v>
      </c>
      <c r="B5" s="3">
        <v>1</v>
      </c>
      <c r="C5" s="1" t="s">
        <v>20</v>
      </c>
      <c r="D5" s="1" t="s">
        <v>21</v>
      </c>
      <c r="E5" s="1" t="s">
        <v>17</v>
      </c>
      <c r="F5" s="1" t="s">
        <v>15</v>
      </c>
      <c r="G5" s="4" t="s">
        <v>15</v>
      </c>
      <c r="H5" s="4" t="s">
        <v>15</v>
      </c>
      <c r="I5" s="4" t="s">
        <v>15</v>
      </c>
      <c r="J5" s="4" t="s">
        <v>15</v>
      </c>
    </row>
    <row r="6" spans="1:10" x14ac:dyDescent="0.25">
      <c r="A6" s="3">
        <v>0.2</v>
      </c>
      <c r="B6" s="3">
        <v>2</v>
      </c>
      <c r="C6" s="1" t="s">
        <v>22</v>
      </c>
      <c r="D6" s="1" t="s">
        <v>23</v>
      </c>
      <c r="E6" s="1" t="s">
        <v>24</v>
      </c>
      <c r="F6" s="1" t="s">
        <v>15</v>
      </c>
      <c r="G6" s="4" t="s">
        <v>15</v>
      </c>
      <c r="H6" s="4" t="s">
        <v>15</v>
      </c>
      <c r="I6" s="4" t="s">
        <v>15</v>
      </c>
      <c r="J6" s="4" t="s">
        <v>15</v>
      </c>
    </row>
    <row r="7" spans="1:10" x14ac:dyDescent="0.25">
      <c r="A7" s="3">
        <v>0.2</v>
      </c>
      <c r="B7" s="3">
        <v>3</v>
      </c>
      <c r="C7" s="1" t="s">
        <v>25</v>
      </c>
      <c r="D7" s="1" t="s">
        <v>23</v>
      </c>
      <c r="E7" s="1" t="s">
        <v>26</v>
      </c>
      <c r="F7" s="1" t="s">
        <v>15</v>
      </c>
      <c r="G7" s="4" t="s">
        <v>15</v>
      </c>
      <c r="H7" s="4" t="s">
        <v>15</v>
      </c>
      <c r="I7" s="4" t="s">
        <v>15</v>
      </c>
      <c r="J7" s="4" t="s">
        <v>15</v>
      </c>
    </row>
    <row r="8" spans="1:10" x14ac:dyDescent="0.25">
      <c r="A8" s="3">
        <v>0.2</v>
      </c>
      <c r="B8" s="3">
        <v>3</v>
      </c>
      <c r="C8" s="1" t="s">
        <v>27</v>
      </c>
      <c r="D8" s="1" t="s">
        <v>23</v>
      </c>
      <c r="E8" s="1" t="s">
        <v>28</v>
      </c>
      <c r="F8" s="1" t="s">
        <v>15</v>
      </c>
      <c r="G8" s="4" t="s">
        <v>15</v>
      </c>
      <c r="H8" s="4" t="s">
        <v>15</v>
      </c>
      <c r="I8" s="4" t="s">
        <v>15</v>
      </c>
      <c r="J8" s="4" t="s">
        <v>15</v>
      </c>
    </row>
    <row r="9" spans="1:10" x14ac:dyDescent="0.25">
      <c r="A9" s="3">
        <v>0.2</v>
      </c>
      <c r="B9" s="3">
        <v>3</v>
      </c>
      <c r="C9" s="1" t="s">
        <v>29</v>
      </c>
      <c r="D9" s="1" t="s">
        <v>23</v>
      </c>
      <c r="E9" s="1" t="s">
        <v>15</v>
      </c>
      <c r="F9" s="1" t="s">
        <v>15</v>
      </c>
      <c r="G9" s="4" t="s">
        <v>15</v>
      </c>
      <c r="H9" s="4" t="s">
        <v>15</v>
      </c>
      <c r="I9" s="4" t="s">
        <v>15</v>
      </c>
      <c r="J9" s="4" t="s">
        <v>15</v>
      </c>
    </row>
    <row r="10" spans="1:10" x14ac:dyDescent="0.25">
      <c r="A10" s="3">
        <v>0.3</v>
      </c>
      <c r="B10" s="3">
        <v>4</v>
      </c>
      <c r="C10" s="1" t="s">
        <v>30</v>
      </c>
      <c r="D10" s="1" t="s">
        <v>31</v>
      </c>
      <c r="E10" s="1" t="s">
        <v>32</v>
      </c>
      <c r="F10" s="1" t="s">
        <v>15</v>
      </c>
      <c r="G10" s="4" t="s">
        <v>15</v>
      </c>
      <c r="H10" s="4" t="s">
        <v>15</v>
      </c>
      <c r="I10" s="4" t="s">
        <v>15</v>
      </c>
      <c r="J10" s="4" t="s">
        <v>15</v>
      </c>
    </row>
    <row r="11" spans="1:10" x14ac:dyDescent="0.25">
      <c r="A11" s="3">
        <v>0.3</v>
      </c>
      <c r="B11" s="3">
        <v>4</v>
      </c>
      <c r="C11" s="1" t="s">
        <v>16</v>
      </c>
      <c r="D11" s="1" t="s">
        <v>23</v>
      </c>
      <c r="E11" s="1" t="s">
        <v>32</v>
      </c>
      <c r="F11" s="1" t="s">
        <v>15</v>
      </c>
      <c r="G11" s="4" t="s">
        <v>15</v>
      </c>
      <c r="H11" s="4" t="s">
        <v>15</v>
      </c>
      <c r="I11" s="4" t="s">
        <v>15</v>
      </c>
      <c r="J11" s="4" t="s">
        <v>15</v>
      </c>
    </row>
    <row r="12" spans="1:10" x14ac:dyDescent="0.25">
      <c r="A12" s="3">
        <v>0.3</v>
      </c>
      <c r="B12" s="3">
        <v>4</v>
      </c>
      <c r="C12" s="1" t="s">
        <v>18</v>
      </c>
      <c r="D12" s="1" t="s">
        <v>33</v>
      </c>
      <c r="E12" s="1" t="s">
        <v>15</v>
      </c>
      <c r="F12" s="1" t="s">
        <v>15</v>
      </c>
      <c r="G12" s="4" t="s">
        <v>15</v>
      </c>
      <c r="H12" s="4" t="s">
        <v>15</v>
      </c>
      <c r="I12" s="4" t="s">
        <v>15</v>
      </c>
      <c r="J12" s="4" t="s">
        <v>15</v>
      </c>
    </row>
    <row r="13" spans="1:10" x14ac:dyDescent="0.25">
      <c r="A13" s="3">
        <v>0.4</v>
      </c>
      <c r="B13" s="3">
        <v>6</v>
      </c>
      <c r="C13" s="1" t="s">
        <v>34</v>
      </c>
      <c r="D13" s="1" t="s">
        <v>33</v>
      </c>
      <c r="E13" s="1" t="s">
        <v>15</v>
      </c>
      <c r="F13" s="1" t="s">
        <v>15</v>
      </c>
      <c r="G13" s="4" t="s">
        <v>15</v>
      </c>
      <c r="H13" s="4" t="s">
        <v>15</v>
      </c>
      <c r="I13" s="4" t="s">
        <v>15</v>
      </c>
      <c r="J13" s="4" t="s">
        <v>15</v>
      </c>
    </row>
    <row r="14" spans="1:10" x14ac:dyDescent="0.25">
      <c r="A14" s="3">
        <v>0.5</v>
      </c>
      <c r="B14" s="3">
        <v>7</v>
      </c>
      <c r="C14" s="1" t="s">
        <v>35</v>
      </c>
      <c r="D14" s="1" t="s">
        <v>33</v>
      </c>
      <c r="E14" s="1" t="s">
        <v>15</v>
      </c>
      <c r="F14" s="1" t="s">
        <v>15</v>
      </c>
      <c r="G14" s="4" t="s">
        <v>15</v>
      </c>
      <c r="H14" s="4" t="s">
        <v>15</v>
      </c>
      <c r="I14" s="4" t="s">
        <v>15</v>
      </c>
      <c r="J14" s="4" t="s">
        <v>15</v>
      </c>
    </row>
    <row r="15" spans="1:10" x14ac:dyDescent="0.25">
      <c r="A15" s="3">
        <v>0.6</v>
      </c>
      <c r="B15" s="3">
        <v>8</v>
      </c>
      <c r="C15" s="1" t="s">
        <v>22</v>
      </c>
      <c r="D15" s="1" t="s">
        <v>33</v>
      </c>
      <c r="E15" s="1" t="s">
        <v>15</v>
      </c>
      <c r="F15" s="1" t="s">
        <v>15</v>
      </c>
      <c r="G15" s="4" t="s">
        <v>15</v>
      </c>
      <c r="H15" s="4" t="s">
        <v>15</v>
      </c>
      <c r="I15" s="4" t="s">
        <v>15</v>
      </c>
      <c r="J15" s="4" t="s">
        <v>15</v>
      </c>
    </row>
    <row r="16" spans="1:10" x14ac:dyDescent="0.25">
      <c r="A16" s="3">
        <v>0.6</v>
      </c>
      <c r="B16" s="3">
        <v>9</v>
      </c>
      <c r="C16" s="1" t="s">
        <v>35</v>
      </c>
      <c r="D16" s="1" t="s">
        <v>33</v>
      </c>
      <c r="E16" s="1" t="s">
        <v>36</v>
      </c>
      <c r="F16" s="1" t="s">
        <v>15</v>
      </c>
      <c r="G16" s="4" t="s">
        <v>15</v>
      </c>
      <c r="H16" s="4" t="s">
        <v>15</v>
      </c>
      <c r="I16" s="4" t="s">
        <v>15</v>
      </c>
      <c r="J16" s="4" t="s">
        <v>15</v>
      </c>
    </row>
    <row r="17" spans="1:10" x14ac:dyDescent="0.25">
      <c r="A17" s="3">
        <v>0.7</v>
      </c>
      <c r="B17" s="3">
        <v>10</v>
      </c>
      <c r="C17" s="1" t="s">
        <v>37</v>
      </c>
      <c r="D17" s="1" t="s">
        <v>23</v>
      </c>
      <c r="E17" s="1" t="s">
        <v>15</v>
      </c>
      <c r="F17" s="1" t="s">
        <v>15</v>
      </c>
      <c r="G17" s="4" t="s">
        <v>15</v>
      </c>
      <c r="H17" s="4" t="s">
        <v>15</v>
      </c>
      <c r="I17" s="4" t="s">
        <v>15</v>
      </c>
      <c r="J17" s="4" t="s">
        <v>15</v>
      </c>
    </row>
    <row r="18" spans="1:10" x14ac:dyDescent="0.25">
      <c r="A18" s="3">
        <v>0.9</v>
      </c>
      <c r="B18" s="3">
        <v>13</v>
      </c>
      <c r="C18" s="1" t="s">
        <v>38</v>
      </c>
      <c r="D18" s="1" t="s">
        <v>23</v>
      </c>
      <c r="E18" s="1" t="s">
        <v>15</v>
      </c>
      <c r="F18" s="1" t="s">
        <v>15</v>
      </c>
      <c r="G18" s="4" t="s">
        <v>15</v>
      </c>
      <c r="H18" s="4" t="s">
        <v>15</v>
      </c>
      <c r="I18" s="4" t="s">
        <v>15</v>
      </c>
      <c r="J18" s="4" t="s">
        <v>15</v>
      </c>
    </row>
    <row r="19" spans="1:10" x14ac:dyDescent="0.25">
      <c r="A19" s="3">
        <v>1</v>
      </c>
      <c r="B19" s="3">
        <v>15</v>
      </c>
      <c r="C19" s="1" t="s">
        <v>39</v>
      </c>
      <c r="D19" s="1" t="s">
        <v>21</v>
      </c>
      <c r="E19" s="1" t="s">
        <v>15</v>
      </c>
      <c r="F19" s="1" t="s">
        <v>15</v>
      </c>
      <c r="G19" s="4" t="s">
        <v>15</v>
      </c>
      <c r="H19" s="4" t="s">
        <v>15</v>
      </c>
      <c r="I19" s="4" t="s">
        <v>15</v>
      </c>
      <c r="J19" s="4" t="s">
        <v>15</v>
      </c>
    </row>
    <row r="20" spans="1:10" x14ac:dyDescent="0.25">
      <c r="A20" s="3">
        <v>1.2</v>
      </c>
      <c r="B20" s="3">
        <v>17</v>
      </c>
      <c r="C20" s="1" t="s">
        <v>40</v>
      </c>
      <c r="D20" s="1" t="s">
        <v>23</v>
      </c>
      <c r="E20" s="1" t="s">
        <v>41</v>
      </c>
      <c r="F20" s="1" t="s">
        <v>15</v>
      </c>
      <c r="G20" s="4" t="s">
        <v>15</v>
      </c>
      <c r="H20" s="4" t="s">
        <v>15</v>
      </c>
      <c r="I20" s="4" t="s">
        <v>15</v>
      </c>
      <c r="J20" s="4" t="s">
        <v>15</v>
      </c>
    </row>
    <row r="21" spans="1:10" x14ac:dyDescent="0.25">
      <c r="A21" s="3">
        <v>1.2</v>
      </c>
      <c r="B21" s="3">
        <v>18</v>
      </c>
      <c r="C21" s="1" t="s">
        <v>42</v>
      </c>
      <c r="D21" s="1" t="s">
        <v>23</v>
      </c>
      <c r="E21" s="1" t="s">
        <v>41</v>
      </c>
      <c r="F21" s="1" t="s">
        <v>15</v>
      </c>
      <c r="G21" s="4" t="s">
        <v>15</v>
      </c>
      <c r="H21" s="4" t="s">
        <v>15</v>
      </c>
      <c r="I21" s="4" t="s">
        <v>15</v>
      </c>
      <c r="J21" s="4" t="s">
        <v>15</v>
      </c>
    </row>
    <row r="22" spans="1:10" x14ac:dyDescent="0.25">
      <c r="A22" s="3">
        <v>1.4</v>
      </c>
      <c r="B22" s="3">
        <v>21</v>
      </c>
      <c r="C22" s="1" t="s">
        <v>16</v>
      </c>
      <c r="D22" s="1" t="s">
        <v>23</v>
      </c>
      <c r="E22" s="1" t="s">
        <v>15</v>
      </c>
      <c r="F22" s="1" t="s">
        <v>15</v>
      </c>
      <c r="G22" s="4" t="s">
        <v>15</v>
      </c>
      <c r="H22" s="4" t="s">
        <v>15</v>
      </c>
      <c r="I22" s="4" t="s">
        <v>15</v>
      </c>
      <c r="J22" s="4" t="s">
        <v>15</v>
      </c>
    </row>
    <row r="23" spans="1:10" x14ac:dyDescent="0.25">
      <c r="A23" s="3">
        <v>1.4</v>
      </c>
      <c r="B23" s="3">
        <v>22</v>
      </c>
      <c r="C23" s="1" t="s">
        <v>43</v>
      </c>
      <c r="D23" s="1" t="s">
        <v>21</v>
      </c>
      <c r="E23" s="1" t="s">
        <v>15</v>
      </c>
      <c r="F23" s="1" t="s">
        <v>15</v>
      </c>
      <c r="G23" s="4" t="s">
        <v>15</v>
      </c>
      <c r="H23" s="4" t="s">
        <v>15</v>
      </c>
      <c r="I23" s="4" t="s">
        <v>15</v>
      </c>
      <c r="J23" s="4" t="s">
        <v>15</v>
      </c>
    </row>
    <row r="24" spans="1:10" x14ac:dyDescent="0.25">
      <c r="A24" s="3">
        <v>1.5</v>
      </c>
      <c r="B24" s="3">
        <v>23</v>
      </c>
      <c r="C24" s="1" t="s">
        <v>16</v>
      </c>
      <c r="D24" s="1" t="s">
        <v>21</v>
      </c>
      <c r="E24" s="1" t="s">
        <v>15</v>
      </c>
      <c r="F24" s="1" t="s">
        <v>15</v>
      </c>
      <c r="G24" s="4" t="s">
        <v>15</v>
      </c>
      <c r="H24" s="4" t="s">
        <v>15</v>
      </c>
      <c r="I24" s="4" t="s">
        <v>15</v>
      </c>
      <c r="J24" s="4" t="s">
        <v>15</v>
      </c>
    </row>
    <row r="25" spans="1:10" x14ac:dyDescent="0.25">
      <c r="A25" s="3">
        <v>1.6</v>
      </c>
      <c r="B25" s="3">
        <v>25</v>
      </c>
      <c r="C25" s="1" t="s">
        <v>22</v>
      </c>
      <c r="D25" s="1" t="s">
        <v>23</v>
      </c>
      <c r="E25" s="1" t="s">
        <v>15</v>
      </c>
      <c r="F25" s="1" t="s">
        <v>15</v>
      </c>
      <c r="G25" s="4" t="s">
        <v>15</v>
      </c>
      <c r="H25" s="4" t="s">
        <v>15</v>
      </c>
      <c r="I25" s="4" t="s">
        <v>15</v>
      </c>
      <c r="J25" s="4" t="s">
        <v>15</v>
      </c>
    </row>
    <row r="26" spans="1:10" x14ac:dyDescent="0.25">
      <c r="A26" s="3">
        <v>1.7</v>
      </c>
      <c r="B26" s="3">
        <v>25</v>
      </c>
      <c r="C26" s="1" t="s">
        <v>16</v>
      </c>
      <c r="D26" s="1" t="s">
        <v>23</v>
      </c>
      <c r="E26" s="1" t="s">
        <v>15</v>
      </c>
      <c r="F26" s="1" t="s">
        <v>15</v>
      </c>
      <c r="G26" s="4" t="s">
        <v>15</v>
      </c>
      <c r="H26" s="4" t="s">
        <v>15</v>
      </c>
      <c r="I26" s="4" t="s">
        <v>15</v>
      </c>
      <c r="J26" s="4" t="s">
        <v>15</v>
      </c>
    </row>
    <row r="27" spans="1:10" x14ac:dyDescent="0.25">
      <c r="A27" s="3">
        <v>1.7</v>
      </c>
      <c r="B27" s="3">
        <v>26</v>
      </c>
      <c r="C27" s="1" t="s">
        <v>16</v>
      </c>
      <c r="D27" s="1" t="s">
        <v>23</v>
      </c>
      <c r="E27" s="1" t="s">
        <v>15</v>
      </c>
      <c r="F27" s="1" t="s">
        <v>15</v>
      </c>
      <c r="G27" s="4" t="s">
        <v>15</v>
      </c>
      <c r="H27" s="4" t="s">
        <v>15</v>
      </c>
      <c r="I27" s="4" t="s">
        <v>15</v>
      </c>
      <c r="J27" s="4" t="s">
        <v>15</v>
      </c>
    </row>
    <row r="28" spans="1:10" x14ac:dyDescent="0.25">
      <c r="A28" s="3">
        <v>1.8</v>
      </c>
      <c r="B28" s="3">
        <v>27</v>
      </c>
      <c r="C28" s="1" t="s">
        <v>22</v>
      </c>
      <c r="D28" s="1" t="s">
        <v>23</v>
      </c>
      <c r="E28" s="1" t="s">
        <v>15</v>
      </c>
      <c r="F28" s="1" t="s">
        <v>15</v>
      </c>
      <c r="G28" s="4" t="s">
        <v>15</v>
      </c>
      <c r="H28" s="4" t="s">
        <v>15</v>
      </c>
      <c r="I28" s="4" t="s">
        <v>15</v>
      </c>
      <c r="J28" s="4" t="s">
        <v>15</v>
      </c>
    </row>
    <row r="29" spans="1:10" x14ac:dyDescent="0.25">
      <c r="A29" s="3">
        <v>1.8</v>
      </c>
      <c r="B29" s="3">
        <v>28</v>
      </c>
      <c r="C29" s="1" t="s">
        <v>44</v>
      </c>
      <c r="D29" s="1" t="s">
        <v>23</v>
      </c>
      <c r="E29" s="1" t="s">
        <v>15</v>
      </c>
      <c r="F29" s="1" t="s">
        <v>15</v>
      </c>
      <c r="G29" s="4" t="s">
        <v>15</v>
      </c>
      <c r="H29" s="4" t="s">
        <v>15</v>
      </c>
      <c r="I29" s="4" t="s">
        <v>15</v>
      </c>
      <c r="J29" s="4" t="s">
        <v>15</v>
      </c>
    </row>
    <row r="30" spans="1:10" x14ac:dyDescent="0.25">
      <c r="A30" s="3">
        <v>1.9</v>
      </c>
      <c r="B30" s="3">
        <v>29</v>
      </c>
      <c r="C30" s="1" t="s">
        <v>34</v>
      </c>
      <c r="D30" s="1" t="s">
        <v>23</v>
      </c>
      <c r="E30" s="1" t="s">
        <v>15</v>
      </c>
      <c r="F30" s="1" t="s">
        <v>15</v>
      </c>
      <c r="G30" s="4" t="s">
        <v>15</v>
      </c>
      <c r="H30" s="4" t="s">
        <v>15</v>
      </c>
      <c r="I30" s="4" t="s">
        <v>15</v>
      </c>
      <c r="J30" s="4" t="s">
        <v>15</v>
      </c>
    </row>
    <row r="31" spans="1:10" x14ac:dyDescent="0.25">
      <c r="A31" s="3">
        <v>2</v>
      </c>
      <c r="B31" s="3">
        <v>30</v>
      </c>
      <c r="C31" s="1" t="s">
        <v>44</v>
      </c>
      <c r="D31" s="1" t="s">
        <v>23</v>
      </c>
      <c r="E31" s="1" t="s">
        <v>15</v>
      </c>
      <c r="F31" s="1" t="s">
        <v>15</v>
      </c>
      <c r="G31" s="4" t="s">
        <v>15</v>
      </c>
      <c r="H31" s="4" t="s">
        <v>15</v>
      </c>
      <c r="I31" s="4" t="s">
        <v>15</v>
      </c>
      <c r="J31" s="4" t="s">
        <v>15</v>
      </c>
    </row>
    <row r="32" spans="1:10" x14ac:dyDescent="0.25">
      <c r="A32" s="3">
        <v>2.1</v>
      </c>
      <c r="B32" s="3">
        <v>32</v>
      </c>
      <c r="C32" s="1" t="s">
        <v>22</v>
      </c>
      <c r="D32" s="1" t="s">
        <v>21</v>
      </c>
      <c r="E32" s="1" t="s">
        <v>15</v>
      </c>
      <c r="F32" s="1" t="s">
        <v>15</v>
      </c>
      <c r="G32" s="4" t="s">
        <v>15</v>
      </c>
      <c r="H32" s="4" t="s">
        <v>15</v>
      </c>
      <c r="I32" s="4" t="s">
        <v>15</v>
      </c>
      <c r="J32" s="4" t="s">
        <v>15</v>
      </c>
    </row>
    <row r="33" spans="1:10" x14ac:dyDescent="0.25">
      <c r="A33" s="3">
        <v>2.4</v>
      </c>
      <c r="B33" s="3">
        <v>35</v>
      </c>
      <c r="C33" s="1" t="s">
        <v>38</v>
      </c>
      <c r="D33" s="1" t="s">
        <v>45</v>
      </c>
      <c r="E33" s="1" t="s">
        <v>15</v>
      </c>
      <c r="F33" s="1" t="s">
        <v>15</v>
      </c>
      <c r="G33" s="4" t="s">
        <v>15</v>
      </c>
      <c r="H33" s="4" t="s">
        <v>15</v>
      </c>
      <c r="I33" s="4" t="s">
        <v>15</v>
      </c>
      <c r="J33" s="4" t="s">
        <v>15</v>
      </c>
    </row>
    <row r="34" spans="1:10" x14ac:dyDescent="0.25">
      <c r="A34" s="3">
        <v>2.4</v>
      </c>
      <c r="B34" s="3">
        <v>36</v>
      </c>
      <c r="C34" s="1" t="s">
        <v>46</v>
      </c>
      <c r="D34" s="1" t="s">
        <v>21</v>
      </c>
      <c r="E34" s="1" t="s">
        <v>15</v>
      </c>
      <c r="F34" s="1" t="s">
        <v>15</v>
      </c>
      <c r="G34" s="4" t="s">
        <v>15</v>
      </c>
      <c r="H34" s="4" t="s">
        <v>15</v>
      </c>
      <c r="I34" s="4" t="s">
        <v>15</v>
      </c>
      <c r="J34" s="4" t="s">
        <v>15</v>
      </c>
    </row>
    <row r="35" spans="1:10" x14ac:dyDescent="0.25">
      <c r="A35" s="3">
        <v>2.5</v>
      </c>
      <c r="B35" s="3">
        <v>37</v>
      </c>
      <c r="C35" s="1" t="s">
        <v>20</v>
      </c>
      <c r="D35" s="1" t="s">
        <v>23</v>
      </c>
      <c r="E35" s="1" t="s">
        <v>47</v>
      </c>
      <c r="F35" s="1" t="s">
        <v>15</v>
      </c>
      <c r="G35" s="4" t="s">
        <v>15</v>
      </c>
      <c r="H35" s="4" t="s">
        <v>15</v>
      </c>
      <c r="I35" s="4" t="s">
        <v>15</v>
      </c>
      <c r="J35" s="4" t="s">
        <v>15</v>
      </c>
    </row>
    <row r="36" spans="1:10" x14ac:dyDescent="0.25">
      <c r="A36" s="3">
        <v>2.5</v>
      </c>
      <c r="B36" s="3">
        <v>38</v>
      </c>
      <c r="C36" s="1" t="s">
        <v>42</v>
      </c>
      <c r="D36" s="1" t="s">
        <v>23</v>
      </c>
      <c r="E36" s="1" t="s">
        <v>15</v>
      </c>
      <c r="F36" s="1" t="s">
        <v>15</v>
      </c>
      <c r="G36" s="4" t="s">
        <v>15</v>
      </c>
      <c r="H36" s="4" t="s">
        <v>15</v>
      </c>
      <c r="I36" s="4" t="s">
        <v>15</v>
      </c>
      <c r="J36" s="4" t="s">
        <v>15</v>
      </c>
    </row>
    <row r="37" spans="1:10" x14ac:dyDescent="0.25">
      <c r="A37" s="3">
        <v>2.8</v>
      </c>
      <c r="B37" s="3">
        <v>42</v>
      </c>
      <c r="C37" s="1" t="s">
        <v>43</v>
      </c>
      <c r="D37" s="1" t="s">
        <v>23</v>
      </c>
      <c r="E37" s="1" t="s">
        <v>15</v>
      </c>
      <c r="F37" s="1" t="s">
        <v>15</v>
      </c>
      <c r="G37" s="4" t="s">
        <v>15</v>
      </c>
      <c r="H37" s="4" t="s">
        <v>15</v>
      </c>
      <c r="I37" s="4" t="s">
        <v>15</v>
      </c>
      <c r="J37" s="4" t="s">
        <v>15</v>
      </c>
    </row>
    <row r="38" spans="1:10" x14ac:dyDescent="0.25">
      <c r="A38" s="3">
        <v>3.3</v>
      </c>
      <c r="B38" s="3">
        <v>50</v>
      </c>
      <c r="C38" s="1" t="s">
        <v>16</v>
      </c>
      <c r="D38" s="1" t="s">
        <v>23</v>
      </c>
      <c r="E38" s="1" t="s">
        <v>15</v>
      </c>
      <c r="F38" s="1" t="s">
        <v>15</v>
      </c>
      <c r="G38" s="4" t="s">
        <v>15</v>
      </c>
      <c r="H38" s="4" t="s">
        <v>15</v>
      </c>
      <c r="I38" s="4" t="s">
        <v>15</v>
      </c>
      <c r="J38" s="4" t="s">
        <v>15</v>
      </c>
    </row>
    <row r="39" spans="1:10" x14ac:dyDescent="0.25">
      <c r="A39" s="3">
        <v>3.4</v>
      </c>
      <c r="B39" s="3">
        <v>51</v>
      </c>
      <c r="C39" s="1" t="s">
        <v>18</v>
      </c>
      <c r="D39" s="1" t="s">
        <v>21</v>
      </c>
      <c r="E39" s="1" t="s">
        <v>15</v>
      </c>
      <c r="F39" s="1" t="s">
        <v>15</v>
      </c>
      <c r="G39" s="4" t="s">
        <v>15</v>
      </c>
      <c r="H39" s="4" t="s">
        <v>15</v>
      </c>
      <c r="I39" s="4" t="s">
        <v>15</v>
      </c>
      <c r="J39" s="4" t="s">
        <v>15</v>
      </c>
    </row>
    <row r="40" spans="1:10" x14ac:dyDescent="0.25">
      <c r="A40" s="3">
        <v>3.5</v>
      </c>
      <c r="B40" s="3">
        <v>53</v>
      </c>
      <c r="C40" s="1" t="s">
        <v>48</v>
      </c>
      <c r="D40" s="1" t="s">
        <v>23</v>
      </c>
      <c r="E40" s="1" t="s">
        <v>49</v>
      </c>
      <c r="F40" s="1" t="s">
        <v>15</v>
      </c>
      <c r="G40" s="4" t="s">
        <v>15</v>
      </c>
      <c r="H40" s="4" t="s">
        <v>15</v>
      </c>
      <c r="I40" s="4" t="s">
        <v>15</v>
      </c>
      <c r="J40" s="4" t="s">
        <v>15</v>
      </c>
    </row>
    <row r="41" spans="1:10" x14ac:dyDescent="0.25">
      <c r="A41" s="3">
        <v>4</v>
      </c>
      <c r="B41" s="3">
        <v>60</v>
      </c>
      <c r="C41" s="1" t="s">
        <v>22</v>
      </c>
      <c r="D41" s="1" t="s">
        <v>23</v>
      </c>
      <c r="E41" s="1" t="s">
        <v>15</v>
      </c>
      <c r="F41" s="1" t="s">
        <v>15</v>
      </c>
      <c r="G41" s="4" t="s">
        <v>15</v>
      </c>
      <c r="H41" s="4" t="s">
        <v>15</v>
      </c>
      <c r="I41" s="4" t="s">
        <v>15</v>
      </c>
      <c r="J41" s="4" t="s">
        <v>15</v>
      </c>
    </row>
    <row r="42" spans="1:10" x14ac:dyDescent="0.25">
      <c r="A42" s="3">
        <v>4</v>
      </c>
      <c r="B42" s="3">
        <v>61</v>
      </c>
      <c r="C42" s="1" t="s">
        <v>22</v>
      </c>
      <c r="D42" s="1" t="s">
        <v>23</v>
      </c>
      <c r="E42" s="1" t="s">
        <v>15</v>
      </c>
      <c r="F42" s="1" t="s">
        <v>15</v>
      </c>
      <c r="G42" s="4" t="s">
        <v>15</v>
      </c>
      <c r="H42" s="4" t="s">
        <v>15</v>
      </c>
      <c r="I42" s="4" t="s">
        <v>15</v>
      </c>
      <c r="J42" s="4" t="s">
        <v>15</v>
      </c>
    </row>
    <row r="43" spans="1:10" x14ac:dyDescent="0.25">
      <c r="A43" s="3">
        <v>4.5</v>
      </c>
      <c r="B43" s="3">
        <v>68</v>
      </c>
      <c r="C43" s="1" t="s">
        <v>22</v>
      </c>
      <c r="D43" s="1" t="s">
        <v>23</v>
      </c>
      <c r="E43" s="1" t="s">
        <v>15</v>
      </c>
      <c r="F43" s="1" t="s">
        <v>15</v>
      </c>
      <c r="G43" s="4" t="s">
        <v>15</v>
      </c>
      <c r="H43" s="4" t="s">
        <v>15</v>
      </c>
      <c r="I43" s="4" t="s">
        <v>15</v>
      </c>
      <c r="J43" s="4" t="s">
        <v>15</v>
      </c>
    </row>
    <row r="44" spans="1:10" x14ac:dyDescent="0.25">
      <c r="A44" s="3">
        <v>4.5</v>
      </c>
      <c r="B44" s="3">
        <v>68</v>
      </c>
      <c r="C44" s="1" t="s">
        <v>37</v>
      </c>
      <c r="D44" s="1" t="s">
        <v>23</v>
      </c>
      <c r="E44" s="1" t="s">
        <v>15</v>
      </c>
      <c r="F44" s="1" t="s">
        <v>15</v>
      </c>
      <c r="G44" s="4" t="s">
        <v>15</v>
      </c>
      <c r="H44" s="4" t="s">
        <v>15</v>
      </c>
      <c r="I44" s="4" t="s">
        <v>15</v>
      </c>
      <c r="J44" s="4" t="s">
        <v>15</v>
      </c>
    </row>
    <row r="45" spans="1:10" x14ac:dyDescent="0.25">
      <c r="A45" s="3">
        <v>4.5999999999999996</v>
      </c>
      <c r="B45" s="3">
        <v>70</v>
      </c>
      <c r="C45" s="1" t="s">
        <v>16</v>
      </c>
      <c r="D45" s="1" t="s">
        <v>23</v>
      </c>
      <c r="E45" s="1" t="s">
        <v>15</v>
      </c>
      <c r="F45" s="1" t="s">
        <v>15</v>
      </c>
      <c r="G45" s="4" t="s">
        <v>15</v>
      </c>
      <c r="H45" s="4" t="s">
        <v>15</v>
      </c>
      <c r="I45" s="4" t="s">
        <v>15</v>
      </c>
      <c r="J45" s="4" t="s">
        <v>15</v>
      </c>
    </row>
    <row r="46" spans="1:10" x14ac:dyDescent="0.25">
      <c r="A46" s="3">
        <v>4.8</v>
      </c>
      <c r="B46" s="3">
        <v>73</v>
      </c>
      <c r="C46" s="1" t="s">
        <v>37</v>
      </c>
      <c r="D46" s="1" t="s">
        <v>23</v>
      </c>
      <c r="E46" s="1" t="s">
        <v>15</v>
      </c>
      <c r="F46" s="1" t="s">
        <v>15</v>
      </c>
      <c r="G46" s="4" t="s">
        <v>15</v>
      </c>
      <c r="H46" s="4" t="s">
        <v>15</v>
      </c>
      <c r="I46" s="4" t="s">
        <v>15</v>
      </c>
      <c r="J46" s="4" t="s">
        <v>15</v>
      </c>
    </row>
    <row r="47" spans="1:10" x14ac:dyDescent="0.25">
      <c r="A47" s="3">
        <v>4.9000000000000004</v>
      </c>
      <c r="B47" s="3">
        <v>73</v>
      </c>
      <c r="C47" s="1" t="s">
        <v>27</v>
      </c>
      <c r="D47" s="1" t="s">
        <v>23</v>
      </c>
      <c r="E47" s="1" t="s">
        <v>15</v>
      </c>
      <c r="F47" s="1" t="s">
        <v>15</v>
      </c>
      <c r="G47" s="4" t="s">
        <v>15</v>
      </c>
      <c r="H47" s="4" t="s">
        <v>15</v>
      </c>
      <c r="I47" s="4" t="s">
        <v>15</v>
      </c>
      <c r="J47" s="4" t="s">
        <v>15</v>
      </c>
    </row>
    <row r="48" spans="1:10" x14ac:dyDescent="0.25">
      <c r="A48" s="3">
        <v>5.4</v>
      </c>
      <c r="B48" s="3">
        <v>80</v>
      </c>
      <c r="C48" s="1" t="s">
        <v>48</v>
      </c>
      <c r="D48" s="1" t="s">
        <v>23</v>
      </c>
      <c r="E48" s="1" t="s">
        <v>15</v>
      </c>
      <c r="F48" s="1" t="s">
        <v>15</v>
      </c>
      <c r="G48" s="4" t="s">
        <v>15</v>
      </c>
      <c r="H48" s="4" t="s">
        <v>15</v>
      </c>
      <c r="I48" s="4" t="s">
        <v>15</v>
      </c>
      <c r="J48" s="4" t="s">
        <v>15</v>
      </c>
    </row>
    <row r="49" spans="1:10" x14ac:dyDescent="0.25">
      <c r="A49" s="3">
        <v>6</v>
      </c>
      <c r="B49" s="3">
        <v>89</v>
      </c>
      <c r="C49" s="1" t="s">
        <v>35</v>
      </c>
      <c r="D49" s="1" t="s">
        <v>23</v>
      </c>
      <c r="E49" s="1" t="s">
        <v>15</v>
      </c>
      <c r="F49" s="1" t="s">
        <v>15</v>
      </c>
      <c r="G49" s="4" t="s">
        <v>15</v>
      </c>
      <c r="H49" s="4" t="s">
        <v>15</v>
      </c>
      <c r="I49" s="4" t="s">
        <v>15</v>
      </c>
      <c r="J49" s="4" t="s">
        <v>15</v>
      </c>
    </row>
    <row r="50" spans="1:10" x14ac:dyDescent="0.25">
      <c r="A50" s="3">
        <v>6</v>
      </c>
      <c r="B50" s="3">
        <v>90</v>
      </c>
      <c r="C50" s="1" t="s">
        <v>50</v>
      </c>
      <c r="D50" s="1" t="s">
        <v>23</v>
      </c>
      <c r="E50" s="1" t="s">
        <v>15</v>
      </c>
      <c r="F50" s="1" t="s">
        <v>15</v>
      </c>
      <c r="G50" s="4" t="s">
        <v>15</v>
      </c>
      <c r="H50" s="4" t="s">
        <v>15</v>
      </c>
      <c r="I50" s="4" t="s">
        <v>15</v>
      </c>
      <c r="J50" s="4" t="s">
        <v>15</v>
      </c>
    </row>
    <row r="51" spans="1:10" x14ac:dyDescent="0.25">
      <c r="A51" s="3">
        <v>6.4</v>
      </c>
      <c r="B51" s="3">
        <v>97</v>
      </c>
      <c r="C51" s="1" t="s">
        <v>40</v>
      </c>
      <c r="D51" s="1" t="s">
        <v>23</v>
      </c>
      <c r="E51" s="1" t="s">
        <v>15</v>
      </c>
      <c r="F51" s="1" t="s">
        <v>15</v>
      </c>
      <c r="G51" s="4" t="s">
        <v>15</v>
      </c>
      <c r="H51" s="4" t="s">
        <v>15</v>
      </c>
      <c r="I51" s="4" t="s">
        <v>15</v>
      </c>
      <c r="J51" s="4" t="s">
        <v>15</v>
      </c>
    </row>
    <row r="52" spans="1:10" x14ac:dyDescent="0.25">
      <c r="A52" s="3">
        <v>6.5</v>
      </c>
      <c r="B52" s="3">
        <v>97</v>
      </c>
      <c r="C52" s="1" t="s">
        <v>51</v>
      </c>
      <c r="D52" s="1" t="s">
        <v>23</v>
      </c>
      <c r="E52" s="1" t="s">
        <v>52</v>
      </c>
      <c r="F52" s="1" t="s">
        <v>15</v>
      </c>
      <c r="G52" s="4" t="s">
        <v>15</v>
      </c>
      <c r="H52" s="4" t="s">
        <v>15</v>
      </c>
      <c r="I52" s="4" t="s">
        <v>15</v>
      </c>
      <c r="J52" s="4" t="s">
        <v>15</v>
      </c>
    </row>
    <row r="53" spans="1:10" x14ac:dyDescent="0.25">
      <c r="A53" s="3">
        <v>6.6</v>
      </c>
      <c r="B53" s="3">
        <v>100</v>
      </c>
      <c r="C53" s="1" t="s">
        <v>39</v>
      </c>
      <c r="D53" s="1" t="s">
        <v>23</v>
      </c>
      <c r="E53" s="1" t="s">
        <v>15</v>
      </c>
      <c r="F53" s="1" t="s">
        <v>15</v>
      </c>
      <c r="G53" s="4" t="s">
        <v>15</v>
      </c>
      <c r="H53" s="4" t="s">
        <v>15</v>
      </c>
      <c r="I53" s="4" t="s">
        <v>15</v>
      </c>
      <c r="J53" s="4" t="s">
        <v>15</v>
      </c>
    </row>
    <row r="54" spans="1:10" x14ac:dyDescent="0.25">
      <c r="A54" s="3">
        <v>7.8</v>
      </c>
      <c r="B54" s="3">
        <v>117</v>
      </c>
      <c r="C54" s="1" t="s">
        <v>53</v>
      </c>
      <c r="D54" s="1" t="s">
        <v>23</v>
      </c>
      <c r="E54" s="1" t="s">
        <v>15</v>
      </c>
      <c r="F54" s="1" t="s">
        <v>15</v>
      </c>
      <c r="G54" s="4" t="s">
        <v>15</v>
      </c>
      <c r="H54" s="4" t="s">
        <v>15</v>
      </c>
      <c r="I54" s="4" t="s">
        <v>15</v>
      </c>
      <c r="J54" s="4" t="s">
        <v>15</v>
      </c>
    </row>
    <row r="55" spans="1:10" x14ac:dyDescent="0.25">
      <c r="A55" s="3">
        <v>7.8</v>
      </c>
      <c r="B55" s="3">
        <v>117</v>
      </c>
      <c r="C55" s="1" t="s">
        <v>16</v>
      </c>
      <c r="D55" s="1" t="s">
        <v>23</v>
      </c>
      <c r="E55" s="1" t="s">
        <v>15</v>
      </c>
      <c r="F55" s="1" t="s">
        <v>15</v>
      </c>
      <c r="G55" s="4" t="s">
        <v>15</v>
      </c>
      <c r="H55" s="4" t="s">
        <v>15</v>
      </c>
      <c r="I55" s="4" t="s">
        <v>15</v>
      </c>
      <c r="J55" s="4" t="s">
        <v>15</v>
      </c>
    </row>
    <row r="56" spans="1:10" x14ac:dyDescent="0.25">
      <c r="A56" s="3">
        <v>7.8</v>
      </c>
      <c r="B56" s="3">
        <v>118</v>
      </c>
      <c r="C56" s="1" t="s">
        <v>16</v>
      </c>
      <c r="D56" s="1" t="s">
        <v>23</v>
      </c>
      <c r="E56" s="1" t="s">
        <v>15</v>
      </c>
      <c r="F56" s="1" t="s">
        <v>15</v>
      </c>
      <c r="G56" s="4" t="s">
        <v>15</v>
      </c>
      <c r="H56" s="4" t="s">
        <v>15</v>
      </c>
      <c r="I56" s="4" t="s">
        <v>15</v>
      </c>
      <c r="J56" s="4" t="s">
        <v>15</v>
      </c>
    </row>
    <row r="57" spans="1:10" x14ac:dyDescent="0.25">
      <c r="A57" s="3">
        <v>7.9</v>
      </c>
      <c r="B57" s="3">
        <v>118</v>
      </c>
      <c r="C57" s="1" t="s">
        <v>43</v>
      </c>
      <c r="D57" s="1" t="s">
        <v>31</v>
      </c>
      <c r="E57" s="1" t="s">
        <v>15</v>
      </c>
      <c r="F57" s="1" t="s">
        <v>15</v>
      </c>
      <c r="G57" s="4" t="s">
        <v>15</v>
      </c>
      <c r="H57" s="4" t="s">
        <v>15</v>
      </c>
      <c r="I57" s="4" t="s">
        <v>15</v>
      </c>
      <c r="J57" s="4" t="s">
        <v>15</v>
      </c>
    </row>
    <row r="58" spans="1:10" x14ac:dyDescent="0.25">
      <c r="A58" s="3">
        <v>7.9</v>
      </c>
      <c r="B58" s="3">
        <v>119</v>
      </c>
      <c r="C58" s="1" t="s">
        <v>43</v>
      </c>
      <c r="D58" s="1" t="s">
        <v>23</v>
      </c>
      <c r="E58" s="1" t="s">
        <v>15</v>
      </c>
      <c r="F58" s="1" t="s">
        <v>15</v>
      </c>
      <c r="G58" s="4" t="s">
        <v>15</v>
      </c>
      <c r="H58" s="4" t="s">
        <v>15</v>
      </c>
      <c r="I58" s="4" t="s">
        <v>15</v>
      </c>
      <c r="J58" s="4" t="s">
        <v>15</v>
      </c>
    </row>
    <row r="59" spans="1:10" x14ac:dyDescent="0.25">
      <c r="A59" s="3">
        <v>8</v>
      </c>
      <c r="B59" s="3">
        <v>120</v>
      </c>
      <c r="C59" s="1" t="s">
        <v>39</v>
      </c>
      <c r="D59" s="1" t="s">
        <v>21</v>
      </c>
      <c r="E59" s="1" t="s">
        <v>49</v>
      </c>
      <c r="F59" s="1" t="s">
        <v>15</v>
      </c>
      <c r="G59" s="4" t="s">
        <v>15</v>
      </c>
      <c r="H59" s="4" t="s">
        <v>15</v>
      </c>
      <c r="I59" s="4" t="s">
        <v>15</v>
      </c>
      <c r="J59" s="4" t="s">
        <v>15</v>
      </c>
    </row>
    <row r="60" spans="1:10" x14ac:dyDescent="0.25">
      <c r="A60" s="3">
        <v>8.1999999999999993</v>
      </c>
      <c r="B60" s="3">
        <v>123</v>
      </c>
      <c r="C60" s="1" t="s">
        <v>54</v>
      </c>
      <c r="D60" s="1" t="s">
        <v>45</v>
      </c>
      <c r="E60" s="1" t="s">
        <v>15</v>
      </c>
      <c r="F60" s="1" t="s">
        <v>15</v>
      </c>
      <c r="G60" s="4" t="s">
        <v>15</v>
      </c>
      <c r="H60" s="4" t="s">
        <v>15</v>
      </c>
      <c r="I60" s="4" t="s">
        <v>15</v>
      </c>
      <c r="J60" s="4" t="s">
        <v>15</v>
      </c>
    </row>
    <row r="61" spans="1:10" x14ac:dyDescent="0.25">
      <c r="A61" s="3">
        <v>8.1999999999999993</v>
      </c>
      <c r="B61" s="3">
        <v>123</v>
      </c>
      <c r="C61" s="1" t="s">
        <v>55</v>
      </c>
      <c r="D61" s="1" t="s">
        <v>21</v>
      </c>
      <c r="E61" s="1" t="s">
        <v>15</v>
      </c>
      <c r="F61" s="1" t="s">
        <v>15</v>
      </c>
      <c r="G61" s="4" t="s">
        <v>15</v>
      </c>
      <c r="H61" s="4" t="s">
        <v>15</v>
      </c>
      <c r="I61" s="4" t="s">
        <v>15</v>
      </c>
      <c r="J61" s="4" t="s">
        <v>15</v>
      </c>
    </row>
    <row r="62" spans="1:10" x14ac:dyDescent="0.25">
      <c r="A62" s="3">
        <v>8.1999999999999993</v>
      </c>
      <c r="B62" s="3">
        <v>124</v>
      </c>
      <c r="C62" s="1" t="s">
        <v>43</v>
      </c>
      <c r="D62" s="1" t="s">
        <v>23</v>
      </c>
      <c r="E62" s="1" t="s">
        <v>15</v>
      </c>
      <c r="F62" s="1" t="s">
        <v>15</v>
      </c>
      <c r="G62" s="4" t="s">
        <v>15</v>
      </c>
      <c r="H62" s="4" t="s">
        <v>15</v>
      </c>
      <c r="I62" s="4" t="s">
        <v>15</v>
      </c>
      <c r="J62" s="4" t="s">
        <v>15</v>
      </c>
    </row>
    <row r="63" spans="1:10" x14ac:dyDescent="0.25">
      <c r="A63" s="3">
        <v>8.8000000000000007</v>
      </c>
      <c r="B63" s="3">
        <v>132</v>
      </c>
      <c r="C63" s="1" t="s">
        <v>56</v>
      </c>
      <c r="D63" s="1" t="s">
        <v>23</v>
      </c>
      <c r="E63" s="1" t="s">
        <v>15</v>
      </c>
      <c r="F63" s="1" t="s">
        <v>15</v>
      </c>
      <c r="G63" s="4" t="s">
        <v>15</v>
      </c>
      <c r="H63" s="4" t="s">
        <v>15</v>
      </c>
      <c r="I63" s="4" t="s">
        <v>15</v>
      </c>
      <c r="J63" s="4" t="s">
        <v>15</v>
      </c>
    </row>
    <row r="64" spans="1:10" x14ac:dyDescent="0.25">
      <c r="A64" s="3">
        <v>9.1999999999999993</v>
      </c>
      <c r="B64" s="3">
        <v>138</v>
      </c>
      <c r="C64" s="1" t="s">
        <v>29</v>
      </c>
      <c r="D64" s="1" t="s">
        <v>23</v>
      </c>
      <c r="E64" s="1" t="s">
        <v>15</v>
      </c>
      <c r="F64" s="1" t="s">
        <v>15</v>
      </c>
      <c r="G64" s="4" t="s">
        <v>15</v>
      </c>
      <c r="H64" s="4" t="s">
        <v>15</v>
      </c>
      <c r="I64" s="4" t="s">
        <v>15</v>
      </c>
      <c r="J64" s="4" t="s">
        <v>15</v>
      </c>
    </row>
    <row r="65" spans="1:10" x14ac:dyDescent="0.25">
      <c r="A65" s="3">
        <v>9.6999999999999993</v>
      </c>
      <c r="B65" s="3">
        <v>146</v>
      </c>
      <c r="C65" s="1" t="s">
        <v>29</v>
      </c>
      <c r="D65" s="1" t="s">
        <v>23</v>
      </c>
      <c r="E65" s="1" t="s">
        <v>15</v>
      </c>
      <c r="F65" s="1" t="s">
        <v>15</v>
      </c>
      <c r="G65" s="4" t="s">
        <v>15</v>
      </c>
      <c r="H65" s="4" t="s">
        <v>15</v>
      </c>
      <c r="I65" s="4" t="s">
        <v>15</v>
      </c>
      <c r="J65" s="4" t="s">
        <v>15</v>
      </c>
    </row>
    <row r="66" spans="1:10" x14ac:dyDescent="0.25">
      <c r="A66" s="3">
        <v>10</v>
      </c>
      <c r="B66" s="3">
        <v>150</v>
      </c>
      <c r="C66" s="1" t="s">
        <v>29</v>
      </c>
      <c r="D66" s="1" t="s">
        <v>23</v>
      </c>
      <c r="E66" s="1" t="s">
        <v>15</v>
      </c>
      <c r="F66" s="1" t="s">
        <v>15</v>
      </c>
      <c r="G66" s="4" t="s">
        <v>15</v>
      </c>
      <c r="H66" s="4" t="s">
        <v>15</v>
      </c>
      <c r="I66" s="4" t="s">
        <v>15</v>
      </c>
      <c r="J66" s="4" t="s">
        <v>15</v>
      </c>
    </row>
    <row r="67" spans="1:10" x14ac:dyDescent="0.25">
      <c r="A67" s="3">
        <v>10.1</v>
      </c>
      <c r="B67" s="3">
        <v>152</v>
      </c>
      <c r="C67" s="1" t="s">
        <v>29</v>
      </c>
      <c r="D67" s="1" t="s">
        <v>23</v>
      </c>
      <c r="E67" s="1" t="s">
        <v>15</v>
      </c>
      <c r="F67" s="1" t="s">
        <v>15</v>
      </c>
      <c r="G67" s="4" t="s">
        <v>15</v>
      </c>
      <c r="H67" s="4" t="s">
        <v>15</v>
      </c>
      <c r="I67" s="4" t="s">
        <v>15</v>
      </c>
      <c r="J67" s="4" t="s">
        <v>15</v>
      </c>
    </row>
    <row r="68" spans="1:10" x14ac:dyDescent="0.25">
      <c r="A68" s="3">
        <v>10.199999999999999</v>
      </c>
      <c r="B68" s="3">
        <v>153</v>
      </c>
      <c r="C68" s="1" t="s">
        <v>29</v>
      </c>
      <c r="D68" s="1" t="s">
        <v>23</v>
      </c>
      <c r="E68" s="1" t="s">
        <v>15</v>
      </c>
      <c r="F68" s="1" t="s">
        <v>15</v>
      </c>
      <c r="G68" s="4" t="s">
        <v>15</v>
      </c>
      <c r="H68" s="4" t="s">
        <v>15</v>
      </c>
      <c r="I68" s="4" t="s">
        <v>15</v>
      </c>
      <c r="J68" s="4" t="s">
        <v>15</v>
      </c>
    </row>
    <row r="69" spans="1:10" x14ac:dyDescent="0.25">
      <c r="A69" s="3">
        <v>10.3</v>
      </c>
      <c r="B69" s="3">
        <v>154</v>
      </c>
      <c r="C69" s="1" t="s">
        <v>48</v>
      </c>
      <c r="D69" s="1" t="s">
        <v>23</v>
      </c>
      <c r="E69" s="1" t="s">
        <v>15</v>
      </c>
      <c r="F69" s="1" t="s">
        <v>15</v>
      </c>
      <c r="G69" s="4" t="s">
        <v>15</v>
      </c>
      <c r="H69" s="4" t="s">
        <v>15</v>
      </c>
      <c r="I69" s="4" t="s">
        <v>15</v>
      </c>
      <c r="J69" s="4" t="s">
        <v>15</v>
      </c>
    </row>
    <row r="70" spans="1:10" x14ac:dyDescent="0.25">
      <c r="A70" s="3">
        <v>10.3</v>
      </c>
      <c r="B70" s="3">
        <v>155</v>
      </c>
      <c r="C70" s="1" t="s">
        <v>50</v>
      </c>
      <c r="D70" s="1" t="s">
        <v>23</v>
      </c>
      <c r="E70" s="1" t="s">
        <v>57</v>
      </c>
      <c r="F70" s="1" t="s">
        <v>15</v>
      </c>
      <c r="G70" s="4" t="s">
        <v>15</v>
      </c>
      <c r="H70" s="4" t="s">
        <v>15</v>
      </c>
      <c r="I70" s="4" t="s">
        <v>15</v>
      </c>
      <c r="J70" s="4" t="s">
        <v>15</v>
      </c>
    </row>
    <row r="71" spans="1:10" x14ac:dyDescent="0.25">
      <c r="A71" s="3">
        <v>10.4</v>
      </c>
      <c r="B71" s="3">
        <v>155</v>
      </c>
      <c r="C71" s="1" t="s">
        <v>56</v>
      </c>
      <c r="D71" s="1" t="s">
        <v>23</v>
      </c>
      <c r="E71" s="1" t="s">
        <v>15</v>
      </c>
      <c r="F71" s="1" t="s">
        <v>15</v>
      </c>
      <c r="G71" s="4" t="s">
        <v>15</v>
      </c>
      <c r="H71" s="4" t="s">
        <v>15</v>
      </c>
      <c r="I71" s="4" t="s">
        <v>15</v>
      </c>
      <c r="J71" s="4" t="s">
        <v>15</v>
      </c>
    </row>
    <row r="72" spans="1:10" x14ac:dyDescent="0.25">
      <c r="A72" s="3">
        <v>10.5</v>
      </c>
      <c r="B72" s="3">
        <v>158</v>
      </c>
      <c r="C72" s="1" t="s">
        <v>56</v>
      </c>
      <c r="D72" s="1" t="s">
        <v>23</v>
      </c>
      <c r="E72" s="1" t="s">
        <v>15</v>
      </c>
      <c r="F72" s="1" t="s">
        <v>15</v>
      </c>
      <c r="G72" s="4" t="s">
        <v>15</v>
      </c>
      <c r="H72" s="4" t="s">
        <v>15</v>
      </c>
      <c r="I72" s="4" t="s">
        <v>15</v>
      </c>
      <c r="J72" s="4" t="s">
        <v>15</v>
      </c>
    </row>
    <row r="73" spans="1:10" x14ac:dyDescent="0.25">
      <c r="A73" s="3">
        <v>10.5</v>
      </c>
      <c r="B73" s="3">
        <v>158</v>
      </c>
      <c r="C73" s="1" t="s">
        <v>29</v>
      </c>
      <c r="D73" s="1" t="s">
        <v>23</v>
      </c>
      <c r="E73" s="1" t="s">
        <v>15</v>
      </c>
      <c r="F73" s="1" t="s">
        <v>15</v>
      </c>
      <c r="G73" s="4" t="s">
        <v>15</v>
      </c>
      <c r="H73" s="4" t="s">
        <v>15</v>
      </c>
      <c r="I73" s="4" t="s">
        <v>15</v>
      </c>
      <c r="J73" s="4" t="s">
        <v>15</v>
      </c>
    </row>
    <row r="74" spans="1:10" x14ac:dyDescent="0.25">
      <c r="A74" s="3">
        <v>10.6</v>
      </c>
      <c r="B74" s="3">
        <v>160</v>
      </c>
      <c r="C74" s="1" t="s">
        <v>27</v>
      </c>
      <c r="D74" s="1" t="s">
        <v>23</v>
      </c>
      <c r="E74" s="1" t="s">
        <v>58</v>
      </c>
      <c r="F74" s="1" t="s">
        <v>15</v>
      </c>
      <c r="G74" s="4" t="s">
        <v>15</v>
      </c>
      <c r="H74" s="4" t="s">
        <v>15</v>
      </c>
      <c r="I74" s="4" t="s">
        <v>15</v>
      </c>
      <c r="J74" s="4" t="s">
        <v>15</v>
      </c>
    </row>
    <row r="75" spans="1:10" x14ac:dyDescent="0.25">
      <c r="A75" s="3">
        <v>10.7</v>
      </c>
      <c r="B75" s="3">
        <v>160</v>
      </c>
      <c r="C75" s="1" t="s">
        <v>59</v>
      </c>
      <c r="D75" s="1" t="s">
        <v>23</v>
      </c>
      <c r="E75" s="1" t="s">
        <v>58</v>
      </c>
      <c r="F75" s="1" t="s">
        <v>15</v>
      </c>
      <c r="G75" s="4" t="s">
        <v>15</v>
      </c>
      <c r="H75" s="4" t="s">
        <v>15</v>
      </c>
      <c r="I75" s="4" t="s">
        <v>15</v>
      </c>
      <c r="J75" s="4" t="s">
        <v>15</v>
      </c>
    </row>
    <row r="76" spans="1:10" x14ac:dyDescent="0.25">
      <c r="A76" s="3">
        <v>10.7</v>
      </c>
      <c r="B76" s="3">
        <v>160</v>
      </c>
      <c r="C76" s="1" t="s">
        <v>29</v>
      </c>
      <c r="D76" s="1" t="s">
        <v>23</v>
      </c>
      <c r="E76" s="1" t="s">
        <v>58</v>
      </c>
      <c r="F76" s="1" t="s">
        <v>15</v>
      </c>
      <c r="G76" s="4" t="s">
        <v>15</v>
      </c>
      <c r="H76" s="4" t="s">
        <v>15</v>
      </c>
      <c r="I76" s="4" t="s">
        <v>15</v>
      </c>
      <c r="J76" s="4" t="s">
        <v>15</v>
      </c>
    </row>
    <row r="77" spans="1:10" x14ac:dyDescent="0.25">
      <c r="A77" s="3">
        <v>10.7</v>
      </c>
      <c r="B77" s="3">
        <v>160</v>
      </c>
      <c r="C77" s="1" t="s">
        <v>29</v>
      </c>
      <c r="D77" s="1" t="s">
        <v>23</v>
      </c>
      <c r="E77" s="1" t="s">
        <v>15</v>
      </c>
      <c r="F77" s="1" t="s">
        <v>15</v>
      </c>
      <c r="G77" s="4" t="s">
        <v>15</v>
      </c>
      <c r="H77" s="4" t="s">
        <v>15</v>
      </c>
      <c r="I77" s="4" t="s">
        <v>15</v>
      </c>
      <c r="J77" s="4" t="s">
        <v>15</v>
      </c>
    </row>
    <row r="78" spans="1:10" x14ac:dyDescent="0.25">
      <c r="A78" s="3">
        <v>10.7</v>
      </c>
      <c r="B78" s="3">
        <v>161</v>
      </c>
      <c r="C78" s="1" t="s">
        <v>29</v>
      </c>
      <c r="D78" s="1" t="s">
        <v>23</v>
      </c>
      <c r="E78" s="1" t="s">
        <v>15</v>
      </c>
      <c r="F78" s="1" t="s">
        <v>15</v>
      </c>
      <c r="G78" s="4" t="s">
        <v>15</v>
      </c>
      <c r="H78" s="4" t="s">
        <v>15</v>
      </c>
      <c r="I78" s="4" t="s">
        <v>15</v>
      </c>
      <c r="J78" s="4" t="s">
        <v>15</v>
      </c>
    </row>
    <row r="79" spans="1:10" x14ac:dyDescent="0.25">
      <c r="A79" s="3">
        <v>10.7</v>
      </c>
      <c r="B79" s="3">
        <v>161</v>
      </c>
      <c r="C79" s="1" t="s">
        <v>29</v>
      </c>
      <c r="D79" s="1" t="s">
        <v>23</v>
      </c>
      <c r="E79" s="1" t="s">
        <v>15</v>
      </c>
      <c r="F79" s="1" t="s">
        <v>15</v>
      </c>
      <c r="G79" s="4" t="s">
        <v>15</v>
      </c>
      <c r="H79" s="4" t="s">
        <v>15</v>
      </c>
      <c r="I79" s="4" t="s">
        <v>15</v>
      </c>
      <c r="J79" s="4" t="s">
        <v>15</v>
      </c>
    </row>
    <row r="80" spans="1:10" x14ac:dyDescent="0.25">
      <c r="A80" s="3">
        <v>10.8</v>
      </c>
      <c r="B80" s="3">
        <v>162</v>
      </c>
      <c r="C80" s="1" t="s">
        <v>27</v>
      </c>
      <c r="D80" s="1" t="s">
        <v>23</v>
      </c>
      <c r="E80" s="1" t="s">
        <v>15</v>
      </c>
      <c r="F80" s="1" t="s">
        <v>15</v>
      </c>
      <c r="G80" s="4" t="s">
        <v>15</v>
      </c>
      <c r="H80" s="4" t="s">
        <v>15</v>
      </c>
      <c r="I80" s="4" t="s">
        <v>15</v>
      </c>
      <c r="J80" s="4" t="s">
        <v>15</v>
      </c>
    </row>
    <row r="81" spans="1:10" x14ac:dyDescent="0.25">
      <c r="A81" s="3">
        <v>10.8</v>
      </c>
      <c r="B81" s="3">
        <v>162</v>
      </c>
      <c r="C81" s="1" t="s">
        <v>29</v>
      </c>
      <c r="D81" s="1" t="s">
        <v>23</v>
      </c>
      <c r="E81" s="1" t="s">
        <v>15</v>
      </c>
      <c r="F81" s="1" t="s">
        <v>15</v>
      </c>
      <c r="G81" s="4" t="s">
        <v>15</v>
      </c>
      <c r="H81" s="4" t="s">
        <v>15</v>
      </c>
      <c r="I81" s="4" t="s">
        <v>15</v>
      </c>
      <c r="J81" s="4" t="s">
        <v>15</v>
      </c>
    </row>
    <row r="82" spans="1:10" x14ac:dyDescent="0.25">
      <c r="A82" s="3">
        <v>10.9</v>
      </c>
      <c r="B82" s="3">
        <v>163</v>
      </c>
      <c r="C82" s="1" t="s">
        <v>29</v>
      </c>
      <c r="D82" s="1" t="s">
        <v>23</v>
      </c>
      <c r="E82" s="1" t="s">
        <v>15</v>
      </c>
      <c r="F82" s="1" t="s">
        <v>15</v>
      </c>
      <c r="G82" s="4" t="s">
        <v>15</v>
      </c>
      <c r="H82" s="4" t="s">
        <v>15</v>
      </c>
      <c r="I82" s="4" t="s">
        <v>15</v>
      </c>
      <c r="J82" s="4" t="s">
        <v>15</v>
      </c>
    </row>
    <row r="83" spans="1:10" x14ac:dyDescent="0.25">
      <c r="A83" s="3">
        <v>11</v>
      </c>
      <c r="B83" s="3">
        <v>166</v>
      </c>
      <c r="C83" s="1" t="s">
        <v>27</v>
      </c>
      <c r="D83" s="1" t="s">
        <v>23</v>
      </c>
      <c r="E83" s="1" t="s">
        <v>15</v>
      </c>
      <c r="F83" s="1" t="s">
        <v>15</v>
      </c>
      <c r="G83" s="4" t="s">
        <v>15</v>
      </c>
      <c r="H83" s="4" t="s">
        <v>15</v>
      </c>
      <c r="I83" s="4" t="s">
        <v>15</v>
      </c>
      <c r="J83" s="4" t="s">
        <v>15</v>
      </c>
    </row>
    <row r="84" spans="1:10" x14ac:dyDescent="0.25">
      <c r="A84" s="3">
        <v>11.1</v>
      </c>
      <c r="B84" s="3">
        <v>166</v>
      </c>
      <c r="C84" s="1" t="s">
        <v>27</v>
      </c>
      <c r="D84" s="1" t="s">
        <v>23</v>
      </c>
      <c r="E84" s="1" t="s">
        <v>15</v>
      </c>
      <c r="F84" s="1" t="s">
        <v>15</v>
      </c>
      <c r="G84" s="4" t="s">
        <v>15</v>
      </c>
      <c r="H84" s="4" t="s">
        <v>15</v>
      </c>
      <c r="I84" s="4" t="s">
        <v>15</v>
      </c>
      <c r="J84" s="4" t="s">
        <v>15</v>
      </c>
    </row>
    <row r="85" spans="1:10" x14ac:dyDescent="0.25">
      <c r="A85" s="3">
        <v>11.1</v>
      </c>
      <c r="B85" s="3">
        <v>167</v>
      </c>
      <c r="C85" s="1" t="s">
        <v>60</v>
      </c>
      <c r="D85" s="1" t="s">
        <v>23</v>
      </c>
      <c r="E85" s="1" t="s">
        <v>26</v>
      </c>
      <c r="F85" s="1" t="s">
        <v>15</v>
      </c>
      <c r="G85" s="4" t="s">
        <v>15</v>
      </c>
      <c r="H85" s="4" t="s">
        <v>15</v>
      </c>
      <c r="I85" s="4" t="s">
        <v>15</v>
      </c>
      <c r="J85" s="4" t="s">
        <v>15</v>
      </c>
    </row>
    <row r="86" spans="1:10" x14ac:dyDescent="0.25">
      <c r="A86" s="3">
        <v>11.2</v>
      </c>
      <c r="B86" s="3">
        <v>167</v>
      </c>
      <c r="C86" s="1" t="s">
        <v>39</v>
      </c>
      <c r="D86" s="1" t="s">
        <v>21</v>
      </c>
      <c r="E86" s="1" t="s">
        <v>24</v>
      </c>
      <c r="F86" s="1" t="s">
        <v>15</v>
      </c>
      <c r="G86" s="4" t="s">
        <v>15</v>
      </c>
      <c r="H86" s="4" t="s">
        <v>15</v>
      </c>
      <c r="I86" s="4" t="s">
        <v>15</v>
      </c>
      <c r="J86" s="4" t="s">
        <v>15</v>
      </c>
    </row>
    <row r="87" spans="1:10" x14ac:dyDescent="0.25">
      <c r="A87" s="3">
        <v>11.2</v>
      </c>
      <c r="B87" s="3">
        <v>168</v>
      </c>
      <c r="C87" s="1" t="s">
        <v>61</v>
      </c>
      <c r="D87" s="1" t="s">
        <v>19</v>
      </c>
      <c r="E87" s="1" t="s">
        <v>17</v>
      </c>
      <c r="F87" s="1" t="s">
        <v>15</v>
      </c>
      <c r="G87" s="4" t="s">
        <v>15</v>
      </c>
      <c r="H87" s="4" t="s">
        <v>15</v>
      </c>
      <c r="I87" s="4" t="s">
        <v>15</v>
      </c>
      <c r="J87" s="4" t="s">
        <v>15</v>
      </c>
    </row>
    <row r="88" spans="1:10" x14ac:dyDescent="0.25">
      <c r="A88" s="3">
        <v>11.2</v>
      </c>
      <c r="B88" s="3">
        <v>169</v>
      </c>
      <c r="C88" s="1" t="s">
        <v>43</v>
      </c>
      <c r="D88" s="1" t="s">
        <v>62</v>
      </c>
      <c r="E88" s="1" t="s">
        <v>17</v>
      </c>
      <c r="F88" s="1" t="s">
        <v>15</v>
      </c>
      <c r="G88" s="4" t="s">
        <v>15</v>
      </c>
      <c r="H88" s="4" t="s">
        <v>15</v>
      </c>
      <c r="I88" s="4" t="s">
        <v>15</v>
      </c>
      <c r="J88" s="4" t="s">
        <v>15</v>
      </c>
    </row>
    <row r="89" spans="1:10" x14ac:dyDescent="0.25">
      <c r="A89" s="3">
        <v>11.3</v>
      </c>
      <c r="B89" s="3">
        <v>170</v>
      </c>
      <c r="C89" s="1" t="s">
        <v>39</v>
      </c>
      <c r="D89" s="1" t="s">
        <v>63</v>
      </c>
      <c r="E89" s="1" t="s">
        <v>64</v>
      </c>
      <c r="F89" s="1" t="s">
        <v>15</v>
      </c>
      <c r="G89" s="4" t="s">
        <v>15</v>
      </c>
      <c r="H89" s="4" t="s">
        <v>15</v>
      </c>
      <c r="I89" s="4" t="s">
        <v>15</v>
      </c>
      <c r="J89" s="4" t="s">
        <v>15</v>
      </c>
    </row>
    <row r="90" spans="1:10" x14ac:dyDescent="0.25">
      <c r="A90" s="3">
        <v>11.3</v>
      </c>
      <c r="B90" s="3">
        <v>170</v>
      </c>
      <c r="C90" s="1" t="s">
        <v>65</v>
      </c>
      <c r="D90" s="1" t="s">
        <v>13</v>
      </c>
      <c r="E90" s="1" t="s">
        <v>64</v>
      </c>
      <c r="F90" s="1" t="s">
        <v>15</v>
      </c>
      <c r="G90" s="4" t="s">
        <v>15</v>
      </c>
      <c r="H90" s="4" t="s">
        <v>15</v>
      </c>
      <c r="I90" s="4" t="s">
        <v>15</v>
      </c>
      <c r="J90" s="4" t="s">
        <v>15</v>
      </c>
    </row>
    <row r="91" spans="1:10" x14ac:dyDescent="0.25">
      <c r="A91" s="3">
        <v>11.3</v>
      </c>
      <c r="B91" s="3">
        <v>170</v>
      </c>
      <c r="C91" s="1" t="s">
        <v>27</v>
      </c>
      <c r="D91" s="1" t="s">
        <v>13</v>
      </c>
      <c r="E91" s="1" t="s">
        <v>66</v>
      </c>
      <c r="F91" s="1" t="s">
        <v>15</v>
      </c>
      <c r="G91" s="4" t="s">
        <v>15</v>
      </c>
      <c r="H91" s="4" t="s">
        <v>15</v>
      </c>
      <c r="I91" s="4" t="s">
        <v>15</v>
      </c>
      <c r="J91" s="4" t="s">
        <v>15</v>
      </c>
    </row>
    <row r="92" spans="1:10" x14ac:dyDescent="0.25">
      <c r="A92" s="3">
        <v>11.4</v>
      </c>
      <c r="B92" s="3">
        <v>171</v>
      </c>
      <c r="C92" s="1" t="s">
        <v>15</v>
      </c>
      <c r="D92" s="1" t="s">
        <v>15</v>
      </c>
      <c r="E92" s="1" t="s">
        <v>64</v>
      </c>
      <c r="F92" s="1" t="s">
        <v>15</v>
      </c>
      <c r="G92" s="4" t="s">
        <v>15</v>
      </c>
      <c r="H92" s="4" t="s">
        <v>15</v>
      </c>
      <c r="I92" s="4" t="s">
        <v>15</v>
      </c>
      <c r="J92" s="4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CE52A8-5E61-46EE-B07D-D0ABD06A2C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nyomvonal</vt:lpstr>
      <vt:lpstr>vezetes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2026-03-30T11:10:32Z</dcterms:created>
  <dcterms:modified xsi:type="dcterms:W3CDTF">2026-03-30T11:28:45Z</dcterms:modified>
</cp:coreProperties>
</file>