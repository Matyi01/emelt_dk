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\emelt_dk\24okt\Digitalis_kultura_Forras_Egy2312\1B_Bolygopalyak\"/>
    </mc:Choice>
  </mc:AlternateContent>
  <xr:revisionPtr revIDLastSave="0" documentId="13_ncr:1_{25F87601-1EE0-4842-A6C6-49AEAB15212E}" xr6:coauthVersionLast="47" xr6:coauthVersionMax="47" xr10:uidLastSave="{00000000-0000-0000-0000-000000000000}"/>
  <bookViews>
    <workbookView xWindow="-120" yWindow="-120" windowWidth="29040" windowHeight="15720" activeTab="2" xr2:uid="{86F118FE-E3EC-4F07-9C81-C3CFC3E3B8E2}"/>
  </bookViews>
  <sheets>
    <sheet name="Mars" sheetId="1" r:id="rId1"/>
    <sheet name="Vénusz" sheetId="2" r:id="rId2"/>
    <sheet name="Pályák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3" i="3" l="1"/>
  <c r="C33" i="3"/>
  <c r="D33" i="3"/>
  <c r="E33" i="3"/>
  <c r="F33" i="3"/>
  <c r="G33" i="3"/>
  <c r="B34" i="3"/>
  <c r="C34" i="3"/>
  <c r="D34" i="3"/>
  <c r="E34" i="3"/>
  <c r="F34" i="3"/>
  <c r="G34" i="3"/>
  <c r="B35" i="3"/>
  <c r="C35" i="3"/>
  <c r="D35" i="3"/>
  <c r="E35" i="3"/>
  <c r="F35" i="3"/>
  <c r="G35" i="3"/>
  <c r="B36" i="3"/>
  <c r="C36" i="3"/>
  <c r="D36" i="3"/>
  <c r="E36" i="3"/>
  <c r="F36" i="3"/>
  <c r="G36" i="3"/>
  <c r="B37" i="3"/>
  <c r="C37" i="3"/>
  <c r="D37" i="3"/>
  <c r="E37" i="3"/>
  <c r="F37" i="3"/>
  <c r="G37" i="3"/>
  <c r="B38" i="3"/>
  <c r="C38" i="3"/>
  <c r="D38" i="3"/>
  <c r="E38" i="3"/>
  <c r="F38" i="3"/>
  <c r="G38" i="3"/>
  <c r="B39" i="3"/>
  <c r="C39" i="3"/>
  <c r="D39" i="3"/>
  <c r="E39" i="3"/>
  <c r="F39" i="3"/>
  <c r="G39" i="3"/>
  <c r="B40" i="3"/>
  <c r="C40" i="3"/>
  <c r="D40" i="3"/>
  <c r="E40" i="3"/>
  <c r="F40" i="3"/>
  <c r="G40" i="3"/>
  <c r="B41" i="3"/>
  <c r="C41" i="3"/>
  <c r="D41" i="3"/>
  <c r="E41" i="3"/>
  <c r="F41" i="3"/>
  <c r="G41" i="3"/>
  <c r="B42" i="3"/>
  <c r="C42" i="3"/>
  <c r="D42" i="3"/>
  <c r="E42" i="3"/>
  <c r="F42" i="3"/>
  <c r="G42" i="3"/>
  <c r="B43" i="3"/>
  <c r="C43" i="3"/>
  <c r="D43" i="3"/>
  <c r="E43" i="3"/>
  <c r="F43" i="3"/>
  <c r="G43" i="3"/>
  <c r="B44" i="3"/>
  <c r="C44" i="3"/>
  <c r="D44" i="3"/>
  <c r="E44" i="3"/>
  <c r="F44" i="3"/>
  <c r="G44" i="3"/>
  <c r="B45" i="3"/>
  <c r="C45" i="3"/>
  <c r="D45" i="3"/>
  <c r="E45" i="3"/>
  <c r="F45" i="3"/>
  <c r="G45" i="3"/>
  <c r="B46" i="3"/>
  <c r="C46" i="3"/>
  <c r="D46" i="3"/>
  <c r="E46" i="3"/>
  <c r="F46" i="3"/>
  <c r="G46" i="3"/>
  <c r="B47" i="3"/>
  <c r="C47" i="3"/>
  <c r="D47" i="3"/>
  <c r="E47" i="3"/>
  <c r="F47" i="3"/>
  <c r="G47" i="3"/>
  <c r="B48" i="3"/>
  <c r="C48" i="3"/>
  <c r="D48" i="3"/>
  <c r="E48" i="3"/>
  <c r="F48" i="3"/>
  <c r="G48" i="3"/>
  <c r="B49" i="3"/>
  <c r="C49" i="3"/>
  <c r="D49" i="3"/>
  <c r="E49" i="3"/>
  <c r="F49" i="3"/>
  <c r="G49" i="3"/>
  <c r="B50" i="3"/>
  <c r="C50" i="3"/>
  <c r="D50" i="3"/>
  <c r="E50" i="3"/>
  <c r="F50" i="3"/>
  <c r="G50" i="3"/>
  <c r="B51" i="3"/>
  <c r="C51" i="3"/>
  <c r="D51" i="3"/>
  <c r="E51" i="3"/>
  <c r="F51" i="3"/>
  <c r="G51" i="3"/>
  <c r="B52" i="3"/>
  <c r="C52" i="3"/>
  <c r="D52" i="3"/>
  <c r="E52" i="3"/>
  <c r="F52" i="3"/>
  <c r="G52" i="3"/>
  <c r="B53" i="3"/>
  <c r="C53" i="3"/>
  <c r="D53" i="3"/>
  <c r="E53" i="3"/>
  <c r="F53" i="3"/>
  <c r="G53" i="3"/>
  <c r="B54" i="3"/>
  <c r="C54" i="3"/>
  <c r="D54" i="3"/>
  <c r="E54" i="3"/>
  <c r="F54" i="3"/>
  <c r="G54" i="3"/>
  <c r="B55" i="3"/>
  <c r="C55" i="3"/>
  <c r="D55" i="3"/>
  <c r="E55" i="3"/>
  <c r="F55" i="3"/>
  <c r="G55" i="3"/>
  <c r="B56" i="3"/>
  <c r="C56" i="3"/>
  <c r="D56" i="3"/>
  <c r="E56" i="3"/>
  <c r="F56" i="3"/>
  <c r="G56" i="3"/>
  <c r="B57" i="3"/>
  <c r="C57" i="3"/>
  <c r="D57" i="3"/>
  <c r="E57" i="3"/>
  <c r="F57" i="3"/>
  <c r="G57" i="3"/>
  <c r="B58" i="3"/>
  <c r="C58" i="3"/>
  <c r="D58" i="3"/>
  <c r="E58" i="3"/>
  <c r="F58" i="3"/>
  <c r="G58" i="3"/>
  <c r="B59" i="3"/>
  <c r="C59" i="3"/>
  <c r="D59" i="3"/>
  <c r="E59" i="3"/>
  <c r="F59" i="3"/>
  <c r="G59" i="3"/>
  <c r="B60" i="3"/>
  <c r="C60" i="3"/>
  <c r="D60" i="3"/>
  <c r="E60" i="3"/>
  <c r="F60" i="3"/>
  <c r="G60" i="3"/>
  <c r="B61" i="3"/>
  <c r="C61" i="3"/>
  <c r="D61" i="3"/>
  <c r="E61" i="3"/>
  <c r="F61" i="3"/>
  <c r="G61" i="3"/>
  <c r="B62" i="3"/>
  <c r="C62" i="3"/>
  <c r="D62" i="3"/>
  <c r="E62" i="3"/>
  <c r="F62" i="3"/>
  <c r="G62" i="3"/>
  <c r="B63" i="3"/>
  <c r="C63" i="3"/>
  <c r="D63" i="3"/>
  <c r="E63" i="3"/>
  <c r="F63" i="3"/>
  <c r="G63" i="3"/>
  <c r="B64" i="3"/>
  <c r="C64" i="3"/>
  <c r="D64" i="3"/>
  <c r="E64" i="3"/>
  <c r="F64" i="3"/>
  <c r="G64" i="3"/>
  <c r="B65" i="3"/>
  <c r="C65" i="3"/>
  <c r="D65" i="3"/>
  <c r="E65" i="3"/>
  <c r="F65" i="3"/>
  <c r="G65" i="3"/>
  <c r="B66" i="3"/>
  <c r="C66" i="3"/>
  <c r="D66" i="3"/>
  <c r="E66" i="3"/>
  <c r="F66" i="3"/>
  <c r="G66" i="3"/>
  <c r="B67" i="3"/>
  <c r="C67" i="3"/>
  <c r="D67" i="3"/>
  <c r="E67" i="3"/>
  <c r="F67" i="3"/>
  <c r="G67" i="3"/>
  <c r="B68" i="3"/>
  <c r="C68" i="3"/>
  <c r="D68" i="3"/>
  <c r="E68" i="3"/>
  <c r="F68" i="3"/>
  <c r="G68" i="3"/>
  <c r="B69" i="3"/>
  <c r="C69" i="3"/>
  <c r="D69" i="3"/>
  <c r="E69" i="3"/>
  <c r="F69" i="3"/>
  <c r="G69" i="3"/>
  <c r="B70" i="3"/>
  <c r="C70" i="3"/>
  <c r="D70" i="3"/>
  <c r="E70" i="3"/>
  <c r="F70" i="3"/>
  <c r="G70" i="3"/>
  <c r="B71" i="3"/>
  <c r="C71" i="3"/>
  <c r="D71" i="3"/>
  <c r="E71" i="3"/>
  <c r="F71" i="3"/>
  <c r="G71" i="3"/>
  <c r="B72" i="3"/>
  <c r="C72" i="3"/>
  <c r="D72" i="3"/>
  <c r="E72" i="3"/>
  <c r="F72" i="3"/>
  <c r="G72" i="3"/>
  <c r="B73" i="3"/>
  <c r="C73" i="3"/>
  <c r="D73" i="3"/>
  <c r="E73" i="3"/>
  <c r="F73" i="3"/>
  <c r="G73" i="3"/>
  <c r="B74" i="3"/>
  <c r="C74" i="3"/>
  <c r="D74" i="3"/>
  <c r="E74" i="3"/>
  <c r="F74" i="3"/>
  <c r="G74" i="3"/>
  <c r="B75" i="3"/>
  <c r="C75" i="3"/>
  <c r="D75" i="3"/>
  <c r="E75" i="3"/>
  <c r="F75" i="3"/>
  <c r="G75" i="3"/>
  <c r="B76" i="3"/>
  <c r="C76" i="3"/>
  <c r="D76" i="3"/>
  <c r="E76" i="3"/>
  <c r="F76" i="3"/>
  <c r="G76" i="3"/>
  <c r="B77" i="3"/>
  <c r="C77" i="3"/>
  <c r="D77" i="3"/>
  <c r="E77" i="3"/>
  <c r="F77" i="3"/>
  <c r="G77" i="3"/>
  <c r="B78" i="3"/>
  <c r="C78" i="3"/>
  <c r="D78" i="3"/>
  <c r="E78" i="3"/>
  <c r="F78" i="3"/>
  <c r="G78" i="3"/>
  <c r="B79" i="3"/>
  <c r="C79" i="3"/>
  <c r="D79" i="3"/>
  <c r="E79" i="3"/>
  <c r="F79" i="3"/>
  <c r="G79" i="3"/>
  <c r="B80" i="3"/>
  <c r="C80" i="3"/>
  <c r="D80" i="3"/>
  <c r="E80" i="3"/>
  <c r="F80" i="3"/>
  <c r="G80" i="3"/>
  <c r="B81" i="3"/>
  <c r="C81" i="3"/>
  <c r="D81" i="3"/>
  <c r="E81" i="3"/>
  <c r="F81" i="3"/>
  <c r="G81" i="3"/>
  <c r="B82" i="3"/>
  <c r="C82" i="3"/>
  <c r="D82" i="3"/>
  <c r="E82" i="3"/>
  <c r="F82" i="3"/>
  <c r="G82" i="3"/>
  <c r="B83" i="3"/>
  <c r="C83" i="3"/>
  <c r="D83" i="3"/>
  <c r="E83" i="3"/>
  <c r="F83" i="3"/>
  <c r="G83" i="3"/>
  <c r="B84" i="3"/>
  <c r="C84" i="3"/>
  <c r="D84" i="3"/>
  <c r="E84" i="3"/>
  <c r="F84" i="3"/>
  <c r="G84" i="3"/>
  <c r="B85" i="3"/>
  <c r="C85" i="3"/>
  <c r="D85" i="3"/>
  <c r="E85" i="3"/>
  <c r="F85" i="3"/>
  <c r="G85" i="3"/>
  <c r="B86" i="3"/>
  <c r="C86" i="3"/>
  <c r="D86" i="3"/>
  <c r="E86" i="3"/>
  <c r="F86" i="3"/>
  <c r="G86" i="3"/>
  <c r="B87" i="3"/>
  <c r="C87" i="3"/>
  <c r="D87" i="3"/>
  <c r="E87" i="3"/>
  <c r="F87" i="3"/>
  <c r="G87" i="3"/>
  <c r="B88" i="3"/>
  <c r="C88" i="3"/>
  <c r="D88" i="3"/>
  <c r="E88" i="3"/>
  <c r="F88" i="3"/>
  <c r="G88" i="3"/>
  <c r="B89" i="3"/>
  <c r="C89" i="3"/>
  <c r="D89" i="3"/>
  <c r="E89" i="3"/>
  <c r="F89" i="3"/>
  <c r="G89" i="3"/>
  <c r="B90" i="3"/>
  <c r="C90" i="3"/>
  <c r="D90" i="3"/>
  <c r="E90" i="3"/>
  <c r="F90" i="3"/>
  <c r="G90" i="3"/>
  <c r="B91" i="3"/>
  <c r="C91" i="3"/>
  <c r="D91" i="3"/>
  <c r="E91" i="3"/>
  <c r="F91" i="3"/>
  <c r="G91" i="3"/>
  <c r="B92" i="3"/>
  <c r="C92" i="3"/>
  <c r="D92" i="3"/>
  <c r="E92" i="3"/>
  <c r="F92" i="3"/>
  <c r="G92" i="3"/>
  <c r="B93" i="3"/>
  <c r="C93" i="3"/>
  <c r="D93" i="3"/>
  <c r="E93" i="3"/>
  <c r="F93" i="3"/>
  <c r="G93" i="3"/>
  <c r="B94" i="3"/>
  <c r="C94" i="3"/>
  <c r="D94" i="3"/>
  <c r="E94" i="3"/>
  <c r="F94" i="3"/>
  <c r="G94" i="3"/>
  <c r="B95" i="3"/>
  <c r="C95" i="3"/>
  <c r="D95" i="3"/>
  <c r="E95" i="3"/>
  <c r="F95" i="3"/>
  <c r="G95" i="3"/>
  <c r="B96" i="3"/>
  <c r="C96" i="3"/>
  <c r="D96" i="3"/>
  <c r="E96" i="3"/>
  <c r="F96" i="3"/>
  <c r="G96" i="3"/>
  <c r="B97" i="3"/>
  <c r="C97" i="3"/>
  <c r="D97" i="3"/>
  <c r="E97" i="3"/>
  <c r="F97" i="3"/>
  <c r="G97" i="3"/>
  <c r="B98" i="3"/>
  <c r="C98" i="3"/>
  <c r="D98" i="3"/>
  <c r="E98" i="3"/>
  <c r="F98" i="3"/>
  <c r="G98" i="3"/>
  <c r="B99" i="3"/>
  <c r="C99" i="3"/>
  <c r="D99" i="3"/>
  <c r="E99" i="3"/>
  <c r="F99" i="3"/>
  <c r="G99" i="3"/>
  <c r="B100" i="3"/>
  <c r="C100" i="3"/>
  <c r="D100" i="3"/>
  <c r="E100" i="3"/>
  <c r="F100" i="3"/>
  <c r="G100" i="3"/>
  <c r="B101" i="3"/>
  <c r="C101" i="3"/>
  <c r="D101" i="3"/>
  <c r="E101" i="3"/>
  <c r="F101" i="3"/>
  <c r="G101" i="3"/>
  <c r="B102" i="3"/>
  <c r="C102" i="3"/>
  <c r="D102" i="3"/>
  <c r="E102" i="3"/>
  <c r="F102" i="3"/>
  <c r="G102" i="3"/>
  <c r="B103" i="3"/>
  <c r="C103" i="3"/>
  <c r="D103" i="3"/>
  <c r="E103" i="3"/>
  <c r="F103" i="3"/>
  <c r="G103" i="3"/>
  <c r="B104" i="3"/>
  <c r="C104" i="3"/>
  <c r="D104" i="3"/>
  <c r="E104" i="3"/>
  <c r="F104" i="3"/>
  <c r="G104" i="3"/>
  <c r="B105" i="3"/>
  <c r="C105" i="3"/>
  <c r="D105" i="3"/>
  <c r="E105" i="3"/>
  <c r="F105" i="3"/>
  <c r="G105" i="3"/>
  <c r="B106" i="3"/>
  <c r="C106" i="3"/>
  <c r="D106" i="3"/>
  <c r="E106" i="3"/>
  <c r="F106" i="3"/>
  <c r="G106" i="3"/>
  <c r="B107" i="3"/>
  <c r="C107" i="3"/>
  <c r="D107" i="3"/>
  <c r="E107" i="3"/>
  <c r="F107" i="3"/>
  <c r="G107" i="3"/>
  <c r="B108" i="3"/>
  <c r="C108" i="3"/>
  <c r="D108" i="3"/>
  <c r="E108" i="3"/>
  <c r="F108" i="3"/>
  <c r="G108" i="3"/>
  <c r="B109" i="3"/>
  <c r="C109" i="3"/>
  <c r="D109" i="3"/>
  <c r="E109" i="3"/>
  <c r="F109" i="3"/>
  <c r="G109" i="3"/>
  <c r="B110" i="3"/>
  <c r="C110" i="3"/>
  <c r="D110" i="3"/>
  <c r="E110" i="3"/>
  <c r="F110" i="3"/>
  <c r="G110" i="3"/>
  <c r="B111" i="3"/>
  <c r="C111" i="3"/>
  <c r="D111" i="3"/>
  <c r="E111" i="3"/>
  <c r="F111" i="3"/>
  <c r="G111" i="3"/>
  <c r="B112" i="3"/>
  <c r="C112" i="3"/>
  <c r="D112" i="3"/>
  <c r="E112" i="3"/>
  <c r="F112" i="3"/>
  <c r="G112" i="3"/>
  <c r="B113" i="3"/>
  <c r="C113" i="3"/>
  <c r="D113" i="3"/>
  <c r="E113" i="3"/>
  <c r="F113" i="3"/>
  <c r="G113" i="3"/>
  <c r="B114" i="3"/>
  <c r="C114" i="3"/>
  <c r="D114" i="3"/>
  <c r="E114" i="3"/>
  <c r="F114" i="3"/>
  <c r="G114" i="3"/>
  <c r="B115" i="3"/>
  <c r="C115" i="3"/>
  <c r="D115" i="3"/>
  <c r="E115" i="3"/>
  <c r="F115" i="3"/>
  <c r="G115" i="3"/>
  <c r="B116" i="3"/>
  <c r="C116" i="3"/>
  <c r="D116" i="3"/>
  <c r="E116" i="3"/>
  <c r="F116" i="3"/>
  <c r="G116" i="3"/>
  <c r="B117" i="3"/>
  <c r="C117" i="3"/>
  <c r="D117" i="3"/>
  <c r="E117" i="3"/>
  <c r="F117" i="3"/>
  <c r="G117" i="3"/>
  <c r="B118" i="3"/>
  <c r="C118" i="3"/>
  <c r="D118" i="3"/>
  <c r="E118" i="3"/>
  <c r="F118" i="3"/>
  <c r="G118" i="3"/>
  <c r="B119" i="3"/>
  <c r="C119" i="3"/>
  <c r="D119" i="3"/>
  <c r="E119" i="3"/>
  <c r="F119" i="3"/>
  <c r="G119" i="3"/>
  <c r="B120" i="3"/>
  <c r="C120" i="3"/>
  <c r="D120" i="3"/>
  <c r="E120" i="3"/>
  <c r="F120" i="3"/>
  <c r="G120" i="3"/>
  <c r="B121" i="3"/>
  <c r="C121" i="3"/>
  <c r="D121" i="3"/>
  <c r="E121" i="3"/>
  <c r="F121" i="3"/>
  <c r="G121" i="3"/>
  <c r="B122" i="3"/>
  <c r="C122" i="3"/>
  <c r="D122" i="3"/>
  <c r="E122" i="3"/>
  <c r="F122" i="3"/>
  <c r="G122" i="3"/>
  <c r="B123" i="3"/>
  <c r="C123" i="3"/>
  <c r="D123" i="3"/>
  <c r="E123" i="3"/>
  <c r="F123" i="3"/>
  <c r="G123" i="3"/>
  <c r="B124" i="3"/>
  <c r="C124" i="3"/>
  <c r="D124" i="3"/>
  <c r="E124" i="3"/>
  <c r="F124" i="3"/>
  <c r="G124" i="3"/>
  <c r="B125" i="3"/>
  <c r="C125" i="3"/>
  <c r="D125" i="3"/>
  <c r="E125" i="3"/>
  <c r="F125" i="3"/>
  <c r="G125" i="3"/>
  <c r="B126" i="3"/>
  <c r="C126" i="3"/>
  <c r="D126" i="3"/>
  <c r="E126" i="3"/>
  <c r="F126" i="3"/>
  <c r="G126" i="3"/>
  <c r="B127" i="3"/>
  <c r="C127" i="3"/>
  <c r="D127" i="3"/>
  <c r="E127" i="3"/>
  <c r="F127" i="3"/>
  <c r="G127" i="3"/>
  <c r="B128" i="3"/>
  <c r="C128" i="3"/>
  <c r="D128" i="3"/>
  <c r="E128" i="3"/>
  <c r="F128" i="3"/>
  <c r="G128" i="3"/>
  <c r="B129" i="3"/>
  <c r="C129" i="3"/>
  <c r="D129" i="3"/>
  <c r="E129" i="3"/>
  <c r="F129" i="3"/>
  <c r="G129" i="3"/>
  <c r="B130" i="3"/>
  <c r="C130" i="3"/>
  <c r="D130" i="3"/>
  <c r="E130" i="3"/>
  <c r="F130" i="3"/>
  <c r="G130" i="3"/>
  <c r="B131" i="3"/>
  <c r="C131" i="3"/>
  <c r="D131" i="3"/>
  <c r="E131" i="3"/>
  <c r="F131" i="3"/>
  <c r="G131" i="3"/>
  <c r="B132" i="3"/>
  <c r="C132" i="3"/>
  <c r="D132" i="3"/>
  <c r="E132" i="3"/>
  <c r="F132" i="3"/>
  <c r="G132" i="3"/>
  <c r="B133" i="3"/>
  <c r="C133" i="3"/>
  <c r="D133" i="3"/>
  <c r="E133" i="3"/>
  <c r="F133" i="3"/>
  <c r="G133" i="3"/>
  <c r="B134" i="3"/>
  <c r="C134" i="3"/>
  <c r="D134" i="3"/>
  <c r="E134" i="3"/>
  <c r="F134" i="3"/>
  <c r="G134" i="3"/>
  <c r="B135" i="3"/>
  <c r="C135" i="3"/>
  <c r="D135" i="3"/>
  <c r="E135" i="3"/>
  <c r="F135" i="3"/>
  <c r="G135" i="3"/>
  <c r="B136" i="3"/>
  <c r="C136" i="3"/>
  <c r="D136" i="3"/>
  <c r="E136" i="3"/>
  <c r="F136" i="3"/>
  <c r="G136" i="3"/>
  <c r="B137" i="3"/>
  <c r="C137" i="3"/>
  <c r="D137" i="3"/>
  <c r="E137" i="3"/>
  <c r="F137" i="3"/>
  <c r="G137" i="3"/>
  <c r="B138" i="3"/>
  <c r="C138" i="3"/>
  <c r="D138" i="3"/>
  <c r="E138" i="3"/>
  <c r="F138" i="3"/>
  <c r="G138" i="3"/>
  <c r="B139" i="3"/>
  <c r="C139" i="3"/>
  <c r="D139" i="3"/>
  <c r="E139" i="3"/>
  <c r="F139" i="3"/>
  <c r="G139" i="3"/>
  <c r="B140" i="3"/>
  <c r="C140" i="3"/>
  <c r="D140" i="3"/>
  <c r="E140" i="3"/>
  <c r="F140" i="3"/>
  <c r="G140" i="3"/>
  <c r="B141" i="3"/>
  <c r="C141" i="3"/>
  <c r="D141" i="3"/>
  <c r="E141" i="3"/>
  <c r="F141" i="3"/>
  <c r="G141" i="3"/>
  <c r="B142" i="3"/>
  <c r="C142" i="3"/>
  <c r="D142" i="3"/>
  <c r="E142" i="3"/>
  <c r="F142" i="3"/>
  <c r="G142" i="3"/>
  <c r="B143" i="3"/>
  <c r="C143" i="3"/>
  <c r="D143" i="3"/>
  <c r="E143" i="3"/>
  <c r="F143" i="3"/>
  <c r="G143" i="3"/>
  <c r="B144" i="3"/>
  <c r="C144" i="3"/>
  <c r="D144" i="3"/>
  <c r="E144" i="3"/>
  <c r="F144" i="3"/>
  <c r="G144" i="3"/>
  <c r="B145" i="3"/>
  <c r="C145" i="3"/>
  <c r="D145" i="3"/>
  <c r="E145" i="3"/>
  <c r="F145" i="3"/>
  <c r="G145" i="3"/>
  <c r="B146" i="3"/>
  <c r="C146" i="3"/>
  <c r="D146" i="3"/>
  <c r="E146" i="3"/>
  <c r="F146" i="3"/>
  <c r="G146" i="3"/>
  <c r="B147" i="3"/>
  <c r="C147" i="3"/>
  <c r="D147" i="3"/>
  <c r="E147" i="3"/>
  <c r="F147" i="3"/>
  <c r="G147" i="3"/>
  <c r="B148" i="3"/>
  <c r="C148" i="3"/>
  <c r="D148" i="3"/>
  <c r="E148" i="3"/>
  <c r="F148" i="3"/>
  <c r="G148" i="3"/>
  <c r="B149" i="3"/>
  <c r="C149" i="3"/>
  <c r="D149" i="3"/>
  <c r="E149" i="3"/>
  <c r="F149" i="3"/>
  <c r="G149" i="3"/>
  <c r="B150" i="3"/>
  <c r="C150" i="3"/>
  <c r="D150" i="3"/>
  <c r="E150" i="3"/>
  <c r="F150" i="3"/>
  <c r="G150" i="3"/>
  <c r="B151" i="3"/>
  <c r="C151" i="3"/>
  <c r="D151" i="3"/>
  <c r="E151" i="3"/>
  <c r="F151" i="3"/>
  <c r="G151" i="3"/>
  <c r="B152" i="3"/>
  <c r="C152" i="3"/>
  <c r="D152" i="3"/>
  <c r="E152" i="3"/>
  <c r="F152" i="3"/>
  <c r="G152" i="3"/>
  <c r="B153" i="3"/>
  <c r="C153" i="3"/>
  <c r="D153" i="3"/>
  <c r="E153" i="3"/>
  <c r="F153" i="3"/>
  <c r="G153" i="3"/>
  <c r="B154" i="3"/>
  <c r="C154" i="3"/>
  <c r="D154" i="3"/>
  <c r="E154" i="3"/>
  <c r="F154" i="3"/>
  <c r="G154" i="3"/>
  <c r="B155" i="3"/>
  <c r="C155" i="3"/>
  <c r="D155" i="3"/>
  <c r="E155" i="3"/>
  <c r="F155" i="3"/>
  <c r="G155" i="3"/>
  <c r="B156" i="3"/>
  <c r="C156" i="3"/>
  <c r="D156" i="3"/>
  <c r="E156" i="3"/>
  <c r="F156" i="3"/>
  <c r="G156" i="3"/>
  <c r="B157" i="3"/>
  <c r="C157" i="3"/>
  <c r="D157" i="3"/>
  <c r="E157" i="3"/>
  <c r="F157" i="3"/>
  <c r="G157" i="3"/>
  <c r="B158" i="3"/>
  <c r="C158" i="3"/>
  <c r="D158" i="3"/>
  <c r="E158" i="3"/>
  <c r="F158" i="3"/>
  <c r="G158" i="3"/>
  <c r="B159" i="3"/>
  <c r="C159" i="3"/>
  <c r="D159" i="3"/>
  <c r="E159" i="3"/>
  <c r="F159" i="3"/>
  <c r="G159" i="3"/>
  <c r="B160" i="3"/>
  <c r="C160" i="3"/>
  <c r="D160" i="3"/>
  <c r="E160" i="3"/>
  <c r="F160" i="3"/>
  <c r="G160" i="3"/>
  <c r="B161" i="3"/>
  <c r="C161" i="3"/>
  <c r="D161" i="3"/>
  <c r="E161" i="3"/>
  <c r="F161" i="3"/>
  <c r="G161" i="3"/>
  <c r="B162" i="3"/>
  <c r="C162" i="3"/>
  <c r="D162" i="3"/>
  <c r="E162" i="3"/>
  <c r="F162" i="3"/>
  <c r="G162" i="3"/>
  <c r="B163" i="3"/>
  <c r="C163" i="3"/>
  <c r="D163" i="3"/>
  <c r="E163" i="3"/>
  <c r="F163" i="3"/>
  <c r="G163" i="3"/>
  <c r="B164" i="3"/>
  <c r="C164" i="3"/>
  <c r="D164" i="3"/>
  <c r="E164" i="3"/>
  <c r="F164" i="3"/>
  <c r="G164" i="3"/>
  <c r="B165" i="3"/>
  <c r="C165" i="3"/>
  <c r="D165" i="3"/>
  <c r="E165" i="3"/>
  <c r="F165" i="3"/>
  <c r="G165" i="3"/>
  <c r="B166" i="3"/>
  <c r="C166" i="3"/>
  <c r="D166" i="3"/>
  <c r="E166" i="3"/>
  <c r="F166" i="3"/>
  <c r="G166" i="3"/>
  <c r="B167" i="3"/>
  <c r="C167" i="3"/>
  <c r="D167" i="3"/>
  <c r="E167" i="3"/>
  <c r="F167" i="3"/>
  <c r="G167" i="3"/>
  <c r="B168" i="3"/>
  <c r="C168" i="3"/>
  <c r="D168" i="3"/>
  <c r="E168" i="3"/>
  <c r="F168" i="3"/>
  <c r="G168" i="3"/>
  <c r="B169" i="3"/>
  <c r="C169" i="3"/>
  <c r="D169" i="3"/>
  <c r="E169" i="3"/>
  <c r="F169" i="3"/>
  <c r="G169" i="3"/>
  <c r="B170" i="3"/>
  <c r="C170" i="3"/>
  <c r="D170" i="3"/>
  <c r="E170" i="3"/>
  <c r="F170" i="3"/>
  <c r="G170" i="3"/>
  <c r="B171" i="3"/>
  <c r="C171" i="3"/>
  <c r="D171" i="3"/>
  <c r="E171" i="3"/>
  <c r="F171" i="3"/>
  <c r="G171" i="3"/>
  <c r="B172" i="3"/>
  <c r="C172" i="3"/>
  <c r="D172" i="3"/>
  <c r="E172" i="3"/>
  <c r="F172" i="3"/>
  <c r="G172" i="3"/>
  <c r="B173" i="3"/>
  <c r="C173" i="3"/>
  <c r="D173" i="3"/>
  <c r="E173" i="3"/>
  <c r="F173" i="3"/>
  <c r="G173" i="3"/>
  <c r="B174" i="3"/>
  <c r="C174" i="3"/>
  <c r="D174" i="3"/>
  <c r="E174" i="3"/>
  <c r="F174" i="3"/>
  <c r="G174" i="3"/>
  <c r="B175" i="3"/>
  <c r="C175" i="3"/>
  <c r="D175" i="3"/>
  <c r="E175" i="3"/>
  <c r="F175" i="3"/>
  <c r="G175" i="3"/>
  <c r="B176" i="3"/>
  <c r="C176" i="3"/>
  <c r="D176" i="3"/>
  <c r="E176" i="3"/>
  <c r="F176" i="3"/>
  <c r="G176" i="3"/>
  <c r="B177" i="3"/>
  <c r="C177" i="3"/>
  <c r="D177" i="3"/>
  <c r="E177" i="3"/>
  <c r="F177" i="3"/>
  <c r="G177" i="3"/>
  <c r="B178" i="3"/>
  <c r="C178" i="3"/>
  <c r="D178" i="3"/>
  <c r="E178" i="3"/>
  <c r="F178" i="3"/>
  <c r="G178" i="3"/>
  <c r="B179" i="3"/>
  <c r="C179" i="3"/>
  <c r="D179" i="3"/>
  <c r="E179" i="3"/>
  <c r="F179" i="3"/>
  <c r="G179" i="3"/>
  <c r="B180" i="3"/>
  <c r="C180" i="3"/>
  <c r="D180" i="3"/>
  <c r="E180" i="3"/>
  <c r="F180" i="3"/>
  <c r="G180" i="3"/>
  <c r="B181" i="3"/>
  <c r="C181" i="3"/>
  <c r="D181" i="3"/>
  <c r="E181" i="3"/>
  <c r="F181" i="3"/>
  <c r="G181" i="3"/>
  <c r="B182" i="3"/>
  <c r="C182" i="3"/>
  <c r="D182" i="3"/>
  <c r="E182" i="3"/>
  <c r="F182" i="3"/>
  <c r="G182" i="3"/>
  <c r="B183" i="3"/>
  <c r="C183" i="3"/>
  <c r="D183" i="3"/>
  <c r="E183" i="3"/>
  <c r="F183" i="3"/>
  <c r="G183" i="3"/>
  <c r="B184" i="3"/>
  <c r="C184" i="3"/>
  <c r="D184" i="3"/>
  <c r="E184" i="3"/>
  <c r="F184" i="3"/>
  <c r="G184" i="3"/>
  <c r="B185" i="3"/>
  <c r="C185" i="3"/>
  <c r="D185" i="3"/>
  <c r="E185" i="3"/>
  <c r="F185" i="3"/>
  <c r="G185" i="3"/>
  <c r="B186" i="3"/>
  <c r="C186" i="3"/>
  <c r="D186" i="3"/>
  <c r="E186" i="3"/>
  <c r="F186" i="3"/>
  <c r="G186" i="3"/>
  <c r="B187" i="3"/>
  <c r="C187" i="3"/>
  <c r="D187" i="3"/>
  <c r="E187" i="3"/>
  <c r="F187" i="3"/>
  <c r="G187" i="3"/>
  <c r="B188" i="3"/>
  <c r="C188" i="3"/>
  <c r="D188" i="3"/>
  <c r="E188" i="3"/>
  <c r="F188" i="3"/>
  <c r="G188" i="3"/>
  <c r="B189" i="3"/>
  <c r="C189" i="3"/>
  <c r="D189" i="3"/>
  <c r="E189" i="3"/>
  <c r="F189" i="3"/>
  <c r="G189" i="3"/>
  <c r="B190" i="3"/>
  <c r="C190" i="3"/>
  <c r="D190" i="3"/>
  <c r="E190" i="3"/>
  <c r="F190" i="3"/>
  <c r="G190" i="3"/>
  <c r="B191" i="3"/>
  <c r="C191" i="3"/>
  <c r="D191" i="3"/>
  <c r="E191" i="3"/>
  <c r="F191" i="3"/>
  <c r="G191" i="3"/>
  <c r="B192" i="3"/>
  <c r="C192" i="3"/>
  <c r="D192" i="3"/>
  <c r="E192" i="3"/>
  <c r="F192" i="3"/>
  <c r="G192" i="3"/>
  <c r="B193" i="3"/>
  <c r="C193" i="3"/>
  <c r="D193" i="3"/>
  <c r="E193" i="3"/>
  <c r="F193" i="3"/>
  <c r="G193" i="3"/>
  <c r="B194" i="3"/>
  <c r="C194" i="3"/>
  <c r="D194" i="3"/>
  <c r="E194" i="3"/>
  <c r="F194" i="3"/>
  <c r="G194" i="3"/>
  <c r="B195" i="3"/>
  <c r="C195" i="3"/>
  <c r="D195" i="3"/>
  <c r="E195" i="3"/>
  <c r="F195" i="3"/>
  <c r="G195" i="3"/>
  <c r="B196" i="3"/>
  <c r="C196" i="3"/>
  <c r="D196" i="3"/>
  <c r="E196" i="3"/>
  <c r="F196" i="3"/>
  <c r="G196" i="3"/>
  <c r="B197" i="3"/>
  <c r="C197" i="3"/>
  <c r="D197" i="3"/>
  <c r="E197" i="3"/>
  <c r="F197" i="3"/>
  <c r="G197" i="3"/>
  <c r="B198" i="3"/>
  <c r="C198" i="3"/>
  <c r="D198" i="3"/>
  <c r="E198" i="3"/>
  <c r="F198" i="3"/>
  <c r="G198" i="3"/>
  <c r="B199" i="3"/>
  <c r="C199" i="3"/>
  <c r="D199" i="3"/>
  <c r="E199" i="3"/>
  <c r="F199" i="3"/>
  <c r="G199" i="3"/>
  <c r="B200" i="3"/>
  <c r="C200" i="3"/>
  <c r="D200" i="3"/>
  <c r="E200" i="3"/>
  <c r="F200" i="3"/>
  <c r="G200" i="3"/>
  <c r="B201" i="3"/>
  <c r="C201" i="3"/>
  <c r="D201" i="3"/>
  <c r="E201" i="3"/>
  <c r="F201" i="3"/>
  <c r="G201" i="3"/>
  <c r="B202" i="3"/>
  <c r="C202" i="3"/>
  <c r="D202" i="3"/>
  <c r="E202" i="3"/>
  <c r="F202" i="3"/>
  <c r="G202" i="3"/>
  <c r="B203" i="3"/>
  <c r="C203" i="3"/>
  <c r="D203" i="3"/>
  <c r="E203" i="3"/>
  <c r="F203" i="3"/>
  <c r="G203" i="3"/>
  <c r="B204" i="3"/>
  <c r="C204" i="3"/>
  <c r="D204" i="3"/>
  <c r="E204" i="3"/>
  <c r="F204" i="3"/>
  <c r="G204" i="3"/>
  <c r="B205" i="3"/>
  <c r="C205" i="3"/>
  <c r="D205" i="3"/>
  <c r="E205" i="3"/>
  <c r="F205" i="3"/>
  <c r="G205" i="3"/>
  <c r="B206" i="3"/>
  <c r="C206" i="3"/>
  <c r="D206" i="3"/>
  <c r="E206" i="3"/>
  <c r="F206" i="3"/>
  <c r="G206" i="3"/>
  <c r="B207" i="3"/>
  <c r="C207" i="3"/>
  <c r="D207" i="3"/>
  <c r="E207" i="3"/>
  <c r="F207" i="3"/>
  <c r="G207" i="3"/>
  <c r="B208" i="3"/>
  <c r="C208" i="3"/>
  <c r="D208" i="3"/>
  <c r="E208" i="3"/>
  <c r="F208" i="3"/>
  <c r="G208" i="3"/>
  <c r="B209" i="3"/>
  <c r="C209" i="3"/>
  <c r="D209" i="3"/>
  <c r="E209" i="3"/>
  <c r="F209" i="3"/>
  <c r="G209" i="3"/>
  <c r="B210" i="3"/>
  <c r="C210" i="3"/>
  <c r="D210" i="3"/>
  <c r="E210" i="3"/>
  <c r="F210" i="3"/>
  <c r="G210" i="3"/>
  <c r="B211" i="3"/>
  <c r="C211" i="3"/>
  <c r="D211" i="3"/>
  <c r="E211" i="3"/>
  <c r="F211" i="3"/>
  <c r="G211" i="3"/>
  <c r="B212" i="3"/>
  <c r="C212" i="3"/>
  <c r="D212" i="3"/>
  <c r="E212" i="3"/>
  <c r="F212" i="3"/>
  <c r="G212" i="3"/>
  <c r="B213" i="3"/>
  <c r="C213" i="3"/>
  <c r="D213" i="3"/>
  <c r="E213" i="3"/>
  <c r="F213" i="3"/>
  <c r="G213" i="3"/>
  <c r="B214" i="3"/>
  <c r="C214" i="3"/>
  <c r="D214" i="3"/>
  <c r="E214" i="3"/>
  <c r="F214" i="3"/>
  <c r="G214" i="3"/>
  <c r="B215" i="3"/>
  <c r="C215" i="3"/>
  <c r="D215" i="3"/>
  <c r="E215" i="3"/>
  <c r="F215" i="3"/>
  <c r="G215" i="3"/>
  <c r="B216" i="3"/>
  <c r="C216" i="3"/>
  <c r="D216" i="3"/>
  <c r="E216" i="3"/>
  <c r="F216" i="3"/>
  <c r="G216" i="3"/>
  <c r="B217" i="3"/>
  <c r="C217" i="3"/>
  <c r="D217" i="3"/>
  <c r="E217" i="3"/>
  <c r="F217" i="3"/>
  <c r="G217" i="3"/>
  <c r="B218" i="3"/>
  <c r="C218" i="3"/>
  <c r="D218" i="3"/>
  <c r="E218" i="3"/>
  <c r="F218" i="3"/>
  <c r="G218" i="3"/>
  <c r="B219" i="3"/>
  <c r="C219" i="3"/>
  <c r="D219" i="3"/>
  <c r="E219" i="3"/>
  <c r="F219" i="3"/>
  <c r="G219" i="3"/>
  <c r="B220" i="3"/>
  <c r="C220" i="3"/>
  <c r="D220" i="3"/>
  <c r="E220" i="3"/>
  <c r="F220" i="3"/>
  <c r="G220" i="3"/>
  <c r="B221" i="3"/>
  <c r="C221" i="3"/>
  <c r="D221" i="3"/>
  <c r="E221" i="3"/>
  <c r="F221" i="3"/>
  <c r="G221" i="3"/>
  <c r="B222" i="3"/>
  <c r="C222" i="3"/>
  <c r="D222" i="3"/>
  <c r="E222" i="3"/>
  <c r="F222" i="3"/>
  <c r="G222" i="3"/>
  <c r="B223" i="3"/>
  <c r="C223" i="3"/>
  <c r="D223" i="3"/>
  <c r="E223" i="3"/>
  <c r="F223" i="3"/>
  <c r="G223" i="3"/>
  <c r="B224" i="3"/>
  <c r="C224" i="3"/>
  <c r="D224" i="3"/>
  <c r="E224" i="3"/>
  <c r="F224" i="3"/>
  <c r="G224" i="3"/>
  <c r="B225" i="3"/>
  <c r="C225" i="3"/>
  <c r="D225" i="3"/>
  <c r="E225" i="3"/>
  <c r="F225" i="3"/>
  <c r="G225" i="3"/>
  <c r="B226" i="3"/>
  <c r="C226" i="3"/>
  <c r="D226" i="3"/>
  <c r="E226" i="3"/>
  <c r="F226" i="3"/>
  <c r="G226" i="3"/>
  <c r="B227" i="3"/>
  <c r="C227" i="3"/>
  <c r="D227" i="3"/>
  <c r="E227" i="3"/>
  <c r="F227" i="3"/>
  <c r="G227" i="3"/>
  <c r="B228" i="3"/>
  <c r="C228" i="3"/>
  <c r="D228" i="3"/>
  <c r="E228" i="3"/>
  <c r="F228" i="3"/>
  <c r="G228" i="3"/>
  <c r="B229" i="3"/>
  <c r="C229" i="3"/>
  <c r="D229" i="3"/>
  <c r="E229" i="3"/>
  <c r="F229" i="3"/>
  <c r="G229" i="3"/>
  <c r="B230" i="3"/>
  <c r="C230" i="3"/>
  <c r="D230" i="3"/>
  <c r="E230" i="3"/>
  <c r="F230" i="3"/>
  <c r="G230" i="3"/>
  <c r="B231" i="3"/>
  <c r="C231" i="3"/>
  <c r="D231" i="3"/>
  <c r="E231" i="3"/>
  <c r="F231" i="3"/>
  <c r="G231" i="3"/>
  <c r="B232" i="3"/>
  <c r="C232" i="3"/>
  <c r="D232" i="3"/>
  <c r="E232" i="3"/>
  <c r="F232" i="3"/>
  <c r="G232" i="3"/>
  <c r="B233" i="3"/>
  <c r="C233" i="3"/>
  <c r="D233" i="3"/>
  <c r="E233" i="3"/>
  <c r="F233" i="3"/>
  <c r="G233" i="3"/>
  <c r="B234" i="3"/>
  <c r="C234" i="3"/>
  <c r="D234" i="3"/>
  <c r="E234" i="3"/>
  <c r="F234" i="3"/>
  <c r="G234" i="3"/>
  <c r="B235" i="3"/>
  <c r="C235" i="3"/>
  <c r="D235" i="3"/>
  <c r="E235" i="3"/>
  <c r="F235" i="3"/>
  <c r="G235" i="3"/>
  <c r="B236" i="3"/>
  <c r="C236" i="3"/>
  <c r="D236" i="3"/>
  <c r="E236" i="3"/>
  <c r="F236" i="3"/>
  <c r="G236" i="3"/>
  <c r="B237" i="3"/>
  <c r="C237" i="3"/>
  <c r="D237" i="3"/>
  <c r="E237" i="3"/>
  <c r="F237" i="3"/>
  <c r="G237" i="3"/>
  <c r="B238" i="3"/>
  <c r="C238" i="3"/>
  <c r="D238" i="3"/>
  <c r="E238" i="3"/>
  <c r="F238" i="3"/>
  <c r="G238" i="3"/>
  <c r="B239" i="3"/>
  <c r="C239" i="3"/>
  <c r="D239" i="3"/>
  <c r="E239" i="3"/>
  <c r="F239" i="3"/>
  <c r="G239" i="3"/>
  <c r="B240" i="3"/>
  <c r="C240" i="3"/>
  <c r="D240" i="3"/>
  <c r="E240" i="3"/>
  <c r="F240" i="3"/>
  <c r="G240" i="3"/>
  <c r="B241" i="3"/>
  <c r="C241" i="3"/>
  <c r="D241" i="3"/>
  <c r="E241" i="3"/>
  <c r="F241" i="3"/>
  <c r="G241" i="3"/>
  <c r="B242" i="3"/>
  <c r="C242" i="3"/>
  <c r="D242" i="3"/>
  <c r="E242" i="3"/>
  <c r="F242" i="3"/>
  <c r="G242" i="3"/>
  <c r="B243" i="3"/>
  <c r="C243" i="3"/>
  <c r="D243" i="3"/>
  <c r="E243" i="3"/>
  <c r="F243" i="3"/>
  <c r="G243" i="3"/>
  <c r="B244" i="3"/>
  <c r="C244" i="3"/>
  <c r="D244" i="3"/>
  <c r="E244" i="3"/>
  <c r="F244" i="3"/>
  <c r="G244" i="3"/>
  <c r="B245" i="3"/>
  <c r="C245" i="3"/>
  <c r="D245" i="3"/>
  <c r="E245" i="3"/>
  <c r="F245" i="3"/>
  <c r="G245" i="3"/>
  <c r="B246" i="3"/>
  <c r="C246" i="3"/>
  <c r="D246" i="3"/>
  <c r="E246" i="3"/>
  <c r="F246" i="3"/>
  <c r="G246" i="3"/>
  <c r="B247" i="3"/>
  <c r="C247" i="3"/>
  <c r="D247" i="3"/>
  <c r="E247" i="3"/>
  <c r="F247" i="3"/>
  <c r="G247" i="3"/>
  <c r="B248" i="3"/>
  <c r="C248" i="3"/>
  <c r="D248" i="3"/>
  <c r="E248" i="3"/>
  <c r="F248" i="3"/>
  <c r="G248" i="3"/>
  <c r="B249" i="3"/>
  <c r="C249" i="3"/>
  <c r="D249" i="3"/>
  <c r="E249" i="3"/>
  <c r="F249" i="3"/>
  <c r="G249" i="3"/>
  <c r="B250" i="3"/>
  <c r="C250" i="3"/>
  <c r="D250" i="3"/>
  <c r="E250" i="3"/>
  <c r="F250" i="3"/>
  <c r="G250" i="3"/>
  <c r="B251" i="3"/>
  <c r="C251" i="3"/>
  <c r="D251" i="3"/>
  <c r="E251" i="3"/>
  <c r="F251" i="3"/>
  <c r="G251" i="3"/>
  <c r="B252" i="3"/>
  <c r="C252" i="3"/>
  <c r="D252" i="3"/>
  <c r="E252" i="3"/>
  <c r="F252" i="3"/>
  <c r="G252" i="3"/>
  <c r="B253" i="3"/>
  <c r="C253" i="3"/>
  <c r="D253" i="3"/>
  <c r="E253" i="3"/>
  <c r="F253" i="3"/>
  <c r="G253" i="3"/>
  <c r="B254" i="3"/>
  <c r="C254" i="3"/>
  <c r="D254" i="3"/>
  <c r="E254" i="3"/>
  <c r="F254" i="3"/>
  <c r="G254" i="3"/>
  <c r="B255" i="3"/>
  <c r="C255" i="3"/>
  <c r="D255" i="3"/>
  <c r="E255" i="3"/>
  <c r="F255" i="3"/>
  <c r="G255" i="3"/>
  <c r="B256" i="3"/>
  <c r="C256" i="3"/>
  <c r="D256" i="3"/>
  <c r="E256" i="3"/>
  <c r="F256" i="3"/>
  <c r="G256" i="3"/>
  <c r="B257" i="3"/>
  <c r="C257" i="3"/>
  <c r="D257" i="3"/>
  <c r="E257" i="3"/>
  <c r="F257" i="3"/>
  <c r="G257" i="3"/>
  <c r="B258" i="3"/>
  <c r="C258" i="3"/>
  <c r="D258" i="3"/>
  <c r="E258" i="3"/>
  <c r="F258" i="3"/>
  <c r="G258" i="3"/>
  <c r="B259" i="3"/>
  <c r="C259" i="3"/>
  <c r="D259" i="3"/>
  <c r="E259" i="3"/>
  <c r="F259" i="3"/>
  <c r="G259" i="3"/>
  <c r="B260" i="3"/>
  <c r="C260" i="3"/>
  <c r="D260" i="3"/>
  <c r="E260" i="3"/>
  <c r="F260" i="3"/>
  <c r="G260" i="3"/>
  <c r="B261" i="3"/>
  <c r="C261" i="3"/>
  <c r="D261" i="3"/>
  <c r="E261" i="3"/>
  <c r="F261" i="3"/>
  <c r="G261" i="3"/>
  <c r="B262" i="3"/>
  <c r="C262" i="3"/>
  <c r="D262" i="3"/>
  <c r="E262" i="3"/>
  <c r="F262" i="3"/>
  <c r="G262" i="3"/>
  <c r="B263" i="3"/>
  <c r="C263" i="3"/>
  <c r="D263" i="3"/>
  <c r="E263" i="3"/>
  <c r="F263" i="3"/>
  <c r="G263" i="3"/>
  <c r="B264" i="3"/>
  <c r="C264" i="3"/>
  <c r="D264" i="3"/>
  <c r="E264" i="3"/>
  <c r="F264" i="3"/>
  <c r="G264" i="3"/>
  <c r="B265" i="3"/>
  <c r="C265" i="3"/>
  <c r="D265" i="3"/>
  <c r="E265" i="3"/>
  <c r="F265" i="3"/>
  <c r="G265" i="3"/>
  <c r="B266" i="3"/>
  <c r="C266" i="3"/>
  <c r="D266" i="3"/>
  <c r="E266" i="3"/>
  <c r="F266" i="3"/>
  <c r="G266" i="3"/>
  <c r="B267" i="3"/>
  <c r="C267" i="3"/>
  <c r="D267" i="3"/>
  <c r="E267" i="3"/>
  <c r="F267" i="3"/>
  <c r="G267" i="3"/>
  <c r="B268" i="3"/>
  <c r="C268" i="3"/>
  <c r="D268" i="3"/>
  <c r="E268" i="3"/>
  <c r="F268" i="3"/>
  <c r="G268" i="3"/>
  <c r="B269" i="3"/>
  <c r="C269" i="3"/>
  <c r="D269" i="3"/>
  <c r="E269" i="3"/>
  <c r="F269" i="3"/>
  <c r="G269" i="3"/>
  <c r="B270" i="3"/>
  <c r="C270" i="3"/>
  <c r="D270" i="3"/>
  <c r="E270" i="3"/>
  <c r="F270" i="3"/>
  <c r="G270" i="3"/>
  <c r="B271" i="3"/>
  <c r="C271" i="3"/>
  <c r="D271" i="3"/>
  <c r="E271" i="3"/>
  <c r="F271" i="3"/>
  <c r="G271" i="3"/>
  <c r="B272" i="3"/>
  <c r="C272" i="3"/>
  <c r="D272" i="3"/>
  <c r="E272" i="3"/>
  <c r="F272" i="3"/>
  <c r="G272" i="3"/>
  <c r="B273" i="3"/>
  <c r="C273" i="3"/>
  <c r="D273" i="3"/>
  <c r="E273" i="3"/>
  <c r="F273" i="3"/>
  <c r="G273" i="3"/>
  <c r="B274" i="3"/>
  <c r="C274" i="3"/>
  <c r="D274" i="3"/>
  <c r="E274" i="3"/>
  <c r="F274" i="3"/>
  <c r="G274" i="3"/>
  <c r="B275" i="3"/>
  <c r="C275" i="3"/>
  <c r="D275" i="3"/>
  <c r="E275" i="3"/>
  <c r="F275" i="3"/>
  <c r="G275" i="3"/>
  <c r="B276" i="3"/>
  <c r="C276" i="3"/>
  <c r="D276" i="3"/>
  <c r="E276" i="3"/>
  <c r="F276" i="3"/>
  <c r="G276" i="3"/>
  <c r="B277" i="3"/>
  <c r="C277" i="3"/>
  <c r="D277" i="3"/>
  <c r="E277" i="3"/>
  <c r="F277" i="3"/>
  <c r="G277" i="3"/>
  <c r="B278" i="3"/>
  <c r="C278" i="3"/>
  <c r="D278" i="3"/>
  <c r="E278" i="3"/>
  <c r="F278" i="3"/>
  <c r="G278" i="3"/>
  <c r="B279" i="3"/>
  <c r="C279" i="3"/>
  <c r="D279" i="3"/>
  <c r="E279" i="3"/>
  <c r="F279" i="3"/>
  <c r="G279" i="3"/>
  <c r="B280" i="3"/>
  <c r="C280" i="3"/>
  <c r="D280" i="3"/>
  <c r="E280" i="3"/>
  <c r="F280" i="3"/>
  <c r="G280" i="3"/>
  <c r="B281" i="3"/>
  <c r="C281" i="3"/>
  <c r="D281" i="3"/>
  <c r="E281" i="3"/>
  <c r="F281" i="3"/>
  <c r="G281" i="3"/>
  <c r="B282" i="3"/>
  <c r="C282" i="3"/>
  <c r="D282" i="3"/>
  <c r="E282" i="3"/>
  <c r="F282" i="3"/>
  <c r="G282" i="3"/>
  <c r="B283" i="3"/>
  <c r="C283" i="3"/>
  <c r="D283" i="3"/>
  <c r="E283" i="3"/>
  <c r="F283" i="3"/>
  <c r="G283" i="3"/>
  <c r="B284" i="3"/>
  <c r="C284" i="3"/>
  <c r="D284" i="3"/>
  <c r="E284" i="3"/>
  <c r="F284" i="3"/>
  <c r="G284" i="3"/>
  <c r="B285" i="3"/>
  <c r="C285" i="3"/>
  <c r="D285" i="3"/>
  <c r="E285" i="3"/>
  <c r="F285" i="3"/>
  <c r="G285" i="3"/>
  <c r="B286" i="3"/>
  <c r="C286" i="3"/>
  <c r="D286" i="3"/>
  <c r="E286" i="3"/>
  <c r="F286" i="3"/>
  <c r="G286" i="3"/>
  <c r="B287" i="3"/>
  <c r="C287" i="3"/>
  <c r="D287" i="3"/>
  <c r="E287" i="3"/>
  <c r="F287" i="3"/>
  <c r="G287" i="3"/>
  <c r="B288" i="3"/>
  <c r="C288" i="3"/>
  <c r="D288" i="3"/>
  <c r="E288" i="3"/>
  <c r="F288" i="3"/>
  <c r="G288" i="3"/>
  <c r="B289" i="3"/>
  <c r="C289" i="3"/>
  <c r="D289" i="3"/>
  <c r="E289" i="3"/>
  <c r="F289" i="3"/>
  <c r="G289" i="3"/>
  <c r="B290" i="3"/>
  <c r="C290" i="3"/>
  <c r="D290" i="3"/>
  <c r="E290" i="3"/>
  <c r="F290" i="3"/>
  <c r="G290" i="3"/>
  <c r="B291" i="3"/>
  <c r="C291" i="3"/>
  <c r="D291" i="3"/>
  <c r="E291" i="3"/>
  <c r="F291" i="3"/>
  <c r="G291" i="3"/>
  <c r="B292" i="3"/>
  <c r="C292" i="3"/>
  <c r="D292" i="3"/>
  <c r="E292" i="3"/>
  <c r="F292" i="3"/>
  <c r="G292" i="3"/>
  <c r="B293" i="3"/>
  <c r="C293" i="3"/>
  <c r="D293" i="3"/>
  <c r="E293" i="3"/>
  <c r="F293" i="3"/>
  <c r="G293" i="3"/>
  <c r="B294" i="3"/>
  <c r="C294" i="3"/>
  <c r="D294" i="3"/>
  <c r="E294" i="3"/>
  <c r="F294" i="3"/>
  <c r="G294" i="3"/>
  <c r="B295" i="3"/>
  <c r="C295" i="3"/>
  <c r="D295" i="3"/>
  <c r="E295" i="3"/>
  <c r="F295" i="3"/>
  <c r="G295" i="3"/>
  <c r="B296" i="3"/>
  <c r="C296" i="3"/>
  <c r="D296" i="3"/>
  <c r="E296" i="3"/>
  <c r="F296" i="3"/>
  <c r="G296" i="3"/>
  <c r="B297" i="3"/>
  <c r="C297" i="3"/>
  <c r="D297" i="3"/>
  <c r="E297" i="3"/>
  <c r="F297" i="3"/>
  <c r="G297" i="3"/>
  <c r="B298" i="3"/>
  <c r="C298" i="3"/>
  <c r="D298" i="3"/>
  <c r="E298" i="3"/>
  <c r="F298" i="3"/>
  <c r="G298" i="3"/>
  <c r="B299" i="3"/>
  <c r="C299" i="3"/>
  <c r="D299" i="3"/>
  <c r="E299" i="3"/>
  <c r="F299" i="3"/>
  <c r="G299" i="3"/>
  <c r="B300" i="3"/>
  <c r="C300" i="3"/>
  <c r="D300" i="3"/>
  <c r="E300" i="3"/>
  <c r="F300" i="3"/>
  <c r="G300" i="3"/>
  <c r="B301" i="3"/>
  <c r="C301" i="3"/>
  <c r="D301" i="3"/>
  <c r="E301" i="3"/>
  <c r="F301" i="3"/>
  <c r="G301" i="3"/>
  <c r="B302" i="3"/>
  <c r="C302" i="3"/>
  <c r="D302" i="3"/>
  <c r="E302" i="3"/>
  <c r="F302" i="3"/>
  <c r="G302" i="3"/>
  <c r="B303" i="3"/>
  <c r="C303" i="3"/>
  <c r="D303" i="3"/>
  <c r="E303" i="3"/>
  <c r="F303" i="3"/>
  <c r="G303" i="3"/>
  <c r="B304" i="3"/>
  <c r="C304" i="3"/>
  <c r="D304" i="3"/>
  <c r="E304" i="3"/>
  <c r="F304" i="3"/>
  <c r="G304" i="3"/>
  <c r="B305" i="3"/>
  <c r="C305" i="3"/>
  <c r="D305" i="3"/>
  <c r="E305" i="3"/>
  <c r="F305" i="3"/>
  <c r="G305" i="3"/>
  <c r="B306" i="3"/>
  <c r="C306" i="3"/>
  <c r="D306" i="3"/>
  <c r="E306" i="3"/>
  <c r="F306" i="3"/>
  <c r="G306" i="3"/>
  <c r="B307" i="3"/>
  <c r="C307" i="3"/>
  <c r="D307" i="3"/>
  <c r="E307" i="3"/>
  <c r="F307" i="3"/>
  <c r="G307" i="3"/>
  <c r="B308" i="3"/>
  <c r="C308" i="3"/>
  <c r="D308" i="3"/>
  <c r="E308" i="3"/>
  <c r="F308" i="3"/>
  <c r="G308" i="3"/>
  <c r="B309" i="3"/>
  <c r="C309" i="3"/>
  <c r="D309" i="3"/>
  <c r="E309" i="3"/>
  <c r="F309" i="3"/>
  <c r="G309" i="3"/>
  <c r="B310" i="3"/>
  <c r="C310" i="3"/>
  <c r="D310" i="3"/>
  <c r="E310" i="3"/>
  <c r="F310" i="3"/>
  <c r="G310" i="3"/>
  <c r="B311" i="3"/>
  <c r="C311" i="3"/>
  <c r="D311" i="3"/>
  <c r="E311" i="3"/>
  <c r="F311" i="3"/>
  <c r="G311" i="3"/>
  <c r="B312" i="3"/>
  <c r="C312" i="3"/>
  <c r="D312" i="3"/>
  <c r="E312" i="3"/>
  <c r="F312" i="3"/>
  <c r="G312" i="3"/>
  <c r="B313" i="3"/>
  <c r="C313" i="3"/>
  <c r="D313" i="3"/>
  <c r="E313" i="3"/>
  <c r="F313" i="3"/>
  <c r="G313" i="3"/>
  <c r="B314" i="3"/>
  <c r="C314" i="3"/>
  <c r="D314" i="3"/>
  <c r="E314" i="3"/>
  <c r="F314" i="3"/>
  <c r="G314" i="3"/>
  <c r="B315" i="3"/>
  <c r="C315" i="3"/>
  <c r="D315" i="3"/>
  <c r="E315" i="3"/>
  <c r="F315" i="3"/>
  <c r="G315" i="3"/>
  <c r="B316" i="3"/>
  <c r="C316" i="3"/>
  <c r="D316" i="3"/>
  <c r="E316" i="3"/>
  <c r="F316" i="3"/>
  <c r="G316" i="3"/>
  <c r="B317" i="3"/>
  <c r="C317" i="3"/>
  <c r="D317" i="3"/>
  <c r="E317" i="3"/>
  <c r="F317" i="3"/>
  <c r="G317" i="3"/>
  <c r="B318" i="3"/>
  <c r="C318" i="3"/>
  <c r="D318" i="3"/>
  <c r="E318" i="3"/>
  <c r="F318" i="3"/>
  <c r="G318" i="3"/>
  <c r="B319" i="3"/>
  <c r="C319" i="3"/>
  <c r="D319" i="3"/>
  <c r="E319" i="3"/>
  <c r="F319" i="3"/>
  <c r="G319" i="3"/>
  <c r="B320" i="3"/>
  <c r="C320" i="3"/>
  <c r="D320" i="3"/>
  <c r="E320" i="3"/>
  <c r="F320" i="3"/>
  <c r="G320" i="3"/>
  <c r="B321" i="3"/>
  <c r="C321" i="3"/>
  <c r="D321" i="3"/>
  <c r="E321" i="3"/>
  <c r="F321" i="3"/>
  <c r="G321" i="3"/>
  <c r="B322" i="3"/>
  <c r="C322" i="3"/>
  <c r="D322" i="3"/>
  <c r="E322" i="3"/>
  <c r="F322" i="3"/>
  <c r="G322" i="3"/>
  <c r="B323" i="3"/>
  <c r="C323" i="3"/>
  <c r="D323" i="3"/>
  <c r="E323" i="3"/>
  <c r="F323" i="3"/>
  <c r="G323" i="3"/>
  <c r="B324" i="3"/>
  <c r="C324" i="3"/>
  <c r="D324" i="3"/>
  <c r="E324" i="3"/>
  <c r="F324" i="3"/>
  <c r="G324" i="3"/>
  <c r="B325" i="3"/>
  <c r="C325" i="3"/>
  <c r="D325" i="3"/>
  <c r="E325" i="3"/>
  <c r="F325" i="3"/>
  <c r="G325" i="3"/>
  <c r="B326" i="3"/>
  <c r="C326" i="3"/>
  <c r="D326" i="3"/>
  <c r="E326" i="3"/>
  <c r="F326" i="3"/>
  <c r="G326" i="3"/>
  <c r="B327" i="3"/>
  <c r="C327" i="3"/>
  <c r="D327" i="3"/>
  <c r="E327" i="3"/>
  <c r="F327" i="3"/>
  <c r="G327" i="3"/>
  <c r="B328" i="3"/>
  <c r="C328" i="3"/>
  <c r="D328" i="3"/>
  <c r="E328" i="3"/>
  <c r="F328" i="3"/>
  <c r="G328" i="3"/>
  <c r="B329" i="3"/>
  <c r="C329" i="3"/>
  <c r="D329" i="3"/>
  <c r="E329" i="3"/>
  <c r="F329" i="3"/>
  <c r="G329" i="3"/>
  <c r="B330" i="3"/>
  <c r="C330" i="3"/>
  <c r="D330" i="3"/>
  <c r="E330" i="3"/>
  <c r="F330" i="3"/>
  <c r="G330" i="3"/>
  <c r="B331" i="3"/>
  <c r="C331" i="3"/>
  <c r="D331" i="3"/>
  <c r="E331" i="3"/>
  <c r="F331" i="3"/>
  <c r="G331" i="3"/>
  <c r="B332" i="3"/>
  <c r="C332" i="3"/>
  <c r="D332" i="3"/>
  <c r="E332" i="3"/>
  <c r="F332" i="3"/>
  <c r="G332" i="3"/>
  <c r="B333" i="3"/>
  <c r="C333" i="3"/>
  <c r="D333" i="3"/>
  <c r="E333" i="3"/>
  <c r="F333" i="3"/>
  <c r="G333" i="3"/>
  <c r="B334" i="3"/>
  <c r="C334" i="3"/>
  <c r="D334" i="3"/>
  <c r="E334" i="3"/>
  <c r="F334" i="3"/>
  <c r="G334" i="3"/>
  <c r="B335" i="3"/>
  <c r="C335" i="3"/>
  <c r="D335" i="3"/>
  <c r="E335" i="3"/>
  <c r="F335" i="3"/>
  <c r="G335" i="3"/>
  <c r="B336" i="3"/>
  <c r="C336" i="3"/>
  <c r="D336" i="3"/>
  <c r="E336" i="3"/>
  <c r="F336" i="3"/>
  <c r="G336" i="3"/>
  <c r="B337" i="3"/>
  <c r="C337" i="3"/>
  <c r="D337" i="3"/>
  <c r="E337" i="3"/>
  <c r="F337" i="3"/>
  <c r="G337" i="3"/>
  <c r="B338" i="3"/>
  <c r="C338" i="3"/>
  <c r="D338" i="3"/>
  <c r="E338" i="3"/>
  <c r="F338" i="3"/>
  <c r="G338" i="3"/>
  <c r="B339" i="3"/>
  <c r="C339" i="3"/>
  <c r="D339" i="3"/>
  <c r="E339" i="3"/>
  <c r="F339" i="3"/>
  <c r="G339" i="3"/>
  <c r="B340" i="3"/>
  <c r="C340" i="3"/>
  <c r="D340" i="3"/>
  <c r="E340" i="3"/>
  <c r="F340" i="3"/>
  <c r="G340" i="3"/>
  <c r="B341" i="3"/>
  <c r="C341" i="3"/>
  <c r="D341" i="3"/>
  <c r="E341" i="3"/>
  <c r="F341" i="3"/>
  <c r="G341" i="3"/>
  <c r="B342" i="3"/>
  <c r="C342" i="3"/>
  <c r="D342" i="3"/>
  <c r="E342" i="3"/>
  <c r="F342" i="3"/>
  <c r="G342" i="3"/>
  <c r="B343" i="3"/>
  <c r="C343" i="3"/>
  <c r="D343" i="3"/>
  <c r="E343" i="3"/>
  <c r="F343" i="3"/>
  <c r="G343" i="3"/>
  <c r="B344" i="3"/>
  <c r="C344" i="3"/>
  <c r="D344" i="3"/>
  <c r="E344" i="3"/>
  <c r="F344" i="3"/>
  <c r="G344" i="3"/>
  <c r="B345" i="3"/>
  <c r="C345" i="3"/>
  <c r="D345" i="3"/>
  <c r="E345" i="3"/>
  <c r="F345" i="3"/>
  <c r="G345" i="3"/>
  <c r="B346" i="3"/>
  <c r="C346" i="3"/>
  <c r="D346" i="3"/>
  <c r="E346" i="3"/>
  <c r="F346" i="3"/>
  <c r="G346" i="3"/>
  <c r="B347" i="3"/>
  <c r="C347" i="3"/>
  <c r="D347" i="3"/>
  <c r="E347" i="3"/>
  <c r="F347" i="3"/>
  <c r="G347" i="3"/>
  <c r="B348" i="3"/>
  <c r="C348" i="3"/>
  <c r="D348" i="3"/>
  <c r="E348" i="3"/>
  <c r="F348" i="3"/>
  <c r="G348" i="3"/>
  <c r="B349" i="3"/>
  <c r="C349" i="3"/>
  <c r="D349" i="3"/>
  <c r="E349" i="3"/>
  <c r="F349" i="3"/>
  <c r="G349" i="3"/>
  <c r="B350" i="3"/>
  <c r="C350" i="3"/>
  <c r="D350" i="3"/>
  <c r="E350" i="3"/>
  <c r="F350" i="3"/>
  <c r="G350" i="3"/>
  <c r="B351" i="3"/>
  <c r="C351" i="3"/>
  <c r="D351" i="3"/>
  <c r="E351" i="3"/>
  <c r="F351" i="3"/>
  <c r="G351" i="3"/>
  <c r="B352" i="3"/>
  <c r="C352" i="3"/>
  <c r="D352" i="3"/>
  <c r="E352" i="3"/>
  <c r="F352" i="3"/>
  <c r="G352" i="3"/>
  <c r="B353" i="3"/>
  <c r="C353" i="3"/>
  <c r="D353" i="3"/>
  <c r="E353" i="3"/>
  <c r="F353" i="3"/>
  <c r="G353" i="3"/>
  <c r="B354" i="3"/>
  <c r="C354" i="3"/>
  <c r="D354" i="3"/>
  <c r="E354" i="3"/>
  <c r="F354" i="3"/>
  <c r="G354" i="3"/>
  <c r="B355" i="3"/>
  <c r="C355" i="3"/>
  <c r="D355" i="3"/>
  <c r="E355" i="3"/>
  <c r="F355" i="3"/>
  <c r="G355" i="3"/>
  <c r="B356" i="3"/>
  <c r="C356" i="3"/>
  <c r="D356" i="3"/>
  <c r="E356" i="3"/>
  <c r="F356" i="3"/>
  <c r="G356" i="3"/>
  <c r="B357" i="3"/>
  <c r="C357" i="3"/>
  <c r="D357" i="3"/>
  <c r="E357" i="3"/>
  <c r="F357" i="3"/>
  <c r="G357" i="3"/>
  <c r="B358" i="3"/>
  <c r="C358" i="3"/>
  <c r="D358" i="3"/>
  <c r="E358" i="3"/>
  <c r="F358" i="3"/>
  <c r="G358" i="3"/>
  <c r="B359" i="3"/>
  <c r="C359" i="3"/>
  <c r="D359" i="3"/>
  <c r="E359" i="3"/>
  <c r="F359" i="3"/>
  <c r="G359" i="3"/>
  <c r="B360" i="3"/>
  <c r="C360" i="3"/>
  <c r="D360" i="3"/>
  <c r="E360" i="3"/>
  <c r="F360" i="3"/>
  <c r="G360" i="3"/>
  <c r="B361" i="3"/>
  <c r="C361" i="3"/>
  <c r="D361" i="3"/>
  <c r="E361" i="3"/>
  <c r="F361" i="3"/>
  <c r="G361" i="3"/>
  <c r="B362" i="3"/>
  <c r="C362" i="3"/>
  <c r="D362" i="3"/>
  <c r="E362" i="3"/>
  <c r="F362" i="3"/>
  <c r="G362" i="3"/>
  <c r="B363" i="3"/>
  <c r="C363" i="3"/>
  <c r="D363" i="3"/>
  <c r="E363" i="3"/>
  <c r="F363" i="3"/>
  <c r="G363" i="3"/>
  <c r="B364" i="3"/>
  <c r="C364" i="3"/>
  <c r="D364" i="3"/>
  <c r="E364" i="3"/>
  <c r="F364" i="3"/>
  <c r="G364" i="3"/>
  <c r="B365" i="3"/>
  <c r="C365" i="3"/>
  <c r="D365" i="3"/>
  <c r="E365" i="3"/>
  <c r="F365" i="3"/>
  <c r="G365" i="3"/>
  <c r="B366" i="3"/>
  <c r="C366" i="3"/>
  <c r="D366" i="3"/>
  <c r="E366" i="3"/>
  <c r="F366" i="3"/>
  <c r="G366" i="3"/>
  <c r="B367" i="3"/>
  <c r="C367" i="3"/>
  <c r="D367" i="3"/>
  <c r="E367" i="3"/>
  <c r="F367" i="3"/>
  <c r="G367" i="3"/>
  <c r="B6" i="3"/>
  <c r="B4" i="3"/>
  <c r="B3" i="3"/>
  <c r="C4" i="3"/>
  <c r="D4" i="3"/>
  <c r="E4" i="3"/>
  <c r="F4" i="3"/>
  <c r="G4" i="3"/>
  <c r="B5" i="3"/>
  <c r="C5" i="3"/>
  <c r="D5" i="3"/>
  <c r="E5" i="3"/>
  <c r="F5" i="3"/>
  <c r="G5" i="3"/>
  <c r="C6" i="3"/>
  <c r="D6" i="3"/>
  <c r="E6" i="3"/>
  <c r="F6" i="3"/>
  <c r="G6" i="3"/>
  <c r="B7" i="3"/>
  <c r="C7" i="3"/>
  <c r="D7" i="3"/>
  <c r="E7" i="3"/>
  <c r="F7" i="3"/>
  <c r="G7" i="3"/>
  <c r="B8" i="3"/>
  <c r="C8" i="3"/>
  <c r="D8" i="3"/>
  <c r="E8" i="3"/>
  <c r="F8" i="3"/>
  <c r="G8" i="3"/>
  <c r="B9" i="3"/>
  <c r="C9" i="3"/>
  <c r="D9" i="3"/>
  <c r="E9" i="3"/>
  <c r="F9" i="3"/>
  <c r="G9" i="3"/>
  <c r="B10" i="3"/>
  <c r="C10" i="3"/>
  <c r="D10" i="3"/>
  <c r="E10" i="3"/>
  <c r="F10" i="3"/>
  <c r="G10" i="3"/>
  <c r="B11" i="3"/>
  <c r="C11" i="3"/>
  <c r="D11" i="3"/>
  <c r="E11" i="3"/>
  <c r="F11" i="3"/>
  <c r="G11" i="3"/>
  <c r="B12" i="3"/>
  <c r="C12" i="3"/>
  <c r="D12" i="3"/>
  <c r="E12" i="3"/>
  <c r="F12" i="3"/>
  <c r="G12" i="3"/>
  <c r="B13" i="3"/>
  <c r="C13" i="3"/>
  <c r="D13" i="3"/>
  <c r="E13" i="3"/>
  <c r="F13" i="3"/>
  <c r="G13" i="3"/>
  <c r="B14" i="3"/>
  <c r="C14" i="3"/>
  <c r="D14" i="3"/>
  <c r="E14" i="3"/>
  <c r="F14" i="3"/>
  <c r="G14" i="3"/>
  <c r="B15" i="3"/>
  <c r="C15" i="3"/>
  <c r="D15" i="3"/>
  <c r="E15" i="3"/>
  <c r="F15" i="3"/>
  <c r="G15" i="3"/>
  <c r="B16" i="3"/>
  <c r="C16" i="3"/>
  <c r="D16" i="3"/>
  <c r="E16" i="3"/>
  <c r="F16" i="3"/>
  <c r="G16" i="3"/>
  <c r="B17" i="3"/>
  <c r="C17" i="3"/>
  <c r="D17" i="3"/>
  <c r="E17" i="3"/>
  <c r="F17" i="3"/>
  <c r="G17" i="3"/>
  <c r="B18" i="3"/>
  <c r="C18" i="3"/>
  <c r="D18" i="3"/>
  <c r="E18" i="3"/>
  <c r="F18" i="3"/>
  <c r="G18" i="3"/>
  <c r="B19" i="3"/>
  <c r="C19" i="3"/>
  <c r="D19" i="3"/>
  <c r="E19" i="3"/>
  <c r="F19" i="3"/>
  <c r="G19" i="3"/>
  <c r="B20" i="3"/>
  <c r="C20" i="3"/>
  <c r="D20" i="3"/>
  <c r="E20" i="3"/>
  <c r="F20" i="3"/>
  <c r="G20" i="3"/>
  <c r="B21" i="3"/>
  <c r="C21" i="3"/>
  <c r="D21" i="3"/>
  <c r="E21" i="3"/>
  <c r="F21" i="3"/>
  <c r="G21" i="3"/>
  <c r="B22" i="3"/>
  <c r="C22" i="3"/>
  <c r="D22" i="3"/>
  <c r="E22" i="3"/>
  <c r="F22" i="3"/>
  <c r="G22" i="3"/>
  <c r="B23" i="3"/>
  <c r="C23" i="3"/>
  <c r="D23" i="3"/>
  <c r="E23" i="3"/>
  <c r="F23" i="3"/>
  <c r="G23" i="3"/>
  <c r="B24" i="3"/>
  <c r="C24" i="3"/>
  <c r="D24" i="3"/>
  <c r="E24" i="3"/>
  <c r="F24" i="3"/>
  <c r="G24" i="3"/>
  <c r="B25" i="3"/>
  <c r="C25" i="3"/>
  <c r="D25" i="3"/>
  <c r="E25" i="3"/>
  <c r="F25" i="3"/>
  <c r="G25" i="3"/>
  <c r="B26" i="3"/>
  <c r="C26" i="3"/>
  <c r="D26" i="3"/>
  <c r="E26" i="3"/>
  <c r="F26" i="3"/>
  <c r="G26" i="3"/>
  <c r="B27" i="3"/>
  <c r="C27" i="3"/>
  <c r="D27" i="3"/>
  <c r="E27" i="3"/>
  <c r="F27" i="3"/>
  <c r="G27" i="3"/>
  <c r="B28" i="3"/>
  <c r="C28" i="3"/>
  <c r="D28" i="3"/>
  <c r="E28" i="3"/>
  <c r="F28" i="3"/>
  <c r="G28" i="3"/>
  <c r="B29" i="3"/>
  <c r="C29" i="3"/>
  <c r="D29" i="3"/>
  <c r="E29" i="3"/>
  <c r="F29" i="3"/>
  <c r="G29" i="3"/>
  <c r="B30" i="3"/>
  <c r="C30" i="3"/>
  <c r="D30" i="3"/>
  <c r="E30" i="3"/>
  <c r="F30" i="3"/>
  <c r="G30" i="3"/>
  <c r="B31" i="3"/>
  <c r="C31" i="3"/>
  <c r="D31" i="3"/>
  <c r="E31" i="3"/>
  <c r="F31" i="3"/>
  <c r="G31" i="3"/>
  <c r="B32" i="3"/>
  <c r="C32" i="3"/>
  <c r="D32" i="3"/>
  <c r="E32" i="3"/>
  <c r="F32" i="3"/>
  <c r="G32" i="3"/>
  <c r="G3" i="3"/>
  <c r="F3" i="3"/>
  <c r="E3" i="3"/>
  <c r="D3" i="3"/>
  <c r="C3" i="3"/>
</calcChain>
</file>

<file path=xl/sharedStrings.xml><?xml version="1.0" encoding="utf-8"?>
<sst xmlns="http://schemas.openxmlformats.org/spreadsheetml/2006/main" count="1177" uniqueCount="227">
  <si>
    <t>2022-Mar-01</t>
  </si>
  <si>
    <t>2022-Mar-02</t>
  </si>
  <si>
    <t>2022-Mar-03</t>
  </si>
  <si>
    <t>2022-Mar-04</t>
  </si>
  <si>
    <t>2022-Mar-05</t>
  </si>
  <si>
    <t>2022-Mar-06</t>
  </si>
  <si>
    <t>2022-Mar-07</t>
  </si>
  <si>
    <t>2022-Mar-08</t>
  </si>
  <si>
    <t>2022-Mar-09</t>
  </si>
  <si>
    <t>2022-Mar-10</t>
  </si>
  <si>
    <t>2022-Mar-11</t>
  </si>
  <si>
    <t>2022-Mar-12</t>
  </si>
  <si>
    <t>2022-Mar-13</t>
  </si>
  <si>
    <t>2022-Mar-14</t>
  </si>
  <si>
    <t>2022-Mar-15</t>
  </si>
  <si>
    <t>2022-Mar-16</t>
  </si>
  <si>
    <t>2022-Mar-17</t>
  </si>
  <si>
    <t>2022-Mar-18</t>
  </si>
  <si>
    <t>2022-Mar-19</t>
  </si>
  <si>
    <t>2022-Mar-20</t>
  </si>
  <si>
    <t>2022-Mar-21</t>
  </si>
  <si>
    <t>2022-Mar-22</t>
  </si>
  <si>
    <t>2022-Mar-23</t>
  </si>
  <si>
    <t>2022-Mar-24</t>
  </si>
  <si>
    <t>2022-Mar-25</t>
  </si>
  <si>
    <t>2022-Mar-26</t>
  </si>
  <si>
    <t>2022-Mar-27</t>
  </si>
  <si>
    <t>2022-Mar-28</t>
  </si>
  <si>
    <t>2022-Mar-29</t>
  </si>
  <si>
    <t>2022-Mar-30</t>
  </si>
  <si>
    <t>2022-Mar-31</t>
  </si>
  <si>
    <t>2022-Apr-01</t>
  </si>
  <si>
    <t>2022-Apr-02</t>
  </si>
  <si>
    <t>2022-Apr-03</t>
  </si>
  <si>
    <t>2022-Apr-04</t>
  </si>
  <si>
    <t>2022-Apr-05</t>
  </si>
  <si>
    <t>2022-Apr-06</t>
  </si>
  <si>
    <t>2022-Apr-07</t>
  </si>
  <si>
    <t>2022-Apr-08</t>
  </si>
  <si>
    <t>2022-Apr-09</t>
  </si>
  <si>
    <t>2022-Apr-10</t>
  </si>
  <si>
    <t>2022-Apr-11</t>
  </si>
  <si>
    <t>2022-Apr-12</t>
  </si>
  <si>
    <t>2022-Apr-13</t>
  </si>
  <si>
    <t>2022-Apr-14</t>
  </si>
  <si>
    <t>2022-Apr-15</t>
  </si>
  <si>
    <t>2022-Apr-16</t>
  </si>
  <si>
    <t>2022-Apr-17</t>
  </si>
  <si>
    <t>2022-Apr-18</t>
  </si>
  <si>
    <t>2022-Apr-19</t>
  </si>
  <si>
    <t>2022-Apr-20</t>
  </si>
  <si>
    <t>2022-Apr-21</t>
  </si>
  <si>
    <t>2022-Apr-22</t>
  </si>
  <si>
    <t>2022-Apr-23</t>
  </si>
  <si>
    <t>2022-Apr-24</t>
  </si>
  <si>
    <t>2022-Apr-25</t>
  </si>
  <si>
    <t>2022-Apr-26</t>
  </si>
  <si>
    <t>2022-Apr-27</t>
  </si>
  <si>
    <t>2022-Apr-28</t>
  </si>
  <si>
    <t>2022-Apr-29</t>
  </si>
  <si>
    <t>2022-Apr-30</t>
  </si>
  <si>
    <t>2022-May-01</t>
  </si>
  <si>
    <t>2022-May-02</t>
  </si>
  <si>
    <t>2022-May-03</t>
  </si>
  <si>
    <t>2022-May-04</t>
  </si>
  <si>
    <t>2022-May-05</t>
  </si>
  <si>
    <t>2022-May-06</t>
  </si>
  <si>
    <t>2022-May-07</t>
  </si>
  <si>
    <t>2022-May-08</t>
  </si>
  <si>
    <t>2022-May-09</t>
  </si>
  <si>
    <t>2022-May-10</t>
  </si>
  <si>
    <t>2022-May-11</t>
  </si>
  <si>
    <t>2022-May-12</t>
  </si>
  <si>
    <t>2022-May-13</t>
  </si>
  <si>
    <t>2022-May-14</t>
  </si>
  <si>
    <t>2022-May-15</t>
  </si>
  <si>
    <t>2022-May-16</t>
  </si>
  <si>
    <t>2022-May-17</t>
  </si>
  <si>
    <t>2022-May-18</t>
  </si>
  <si>
    <t>2022-May-19</t>
  </si>
  <si>
    <t>2022-May-20</t>
  </si>
  <si>
    <t>2022-May-21</t>
  </si>
  <si>
    <t>2022-May-22</t>
  </si>
  <si>
    <t>2022-May-23</t>
  </si>
  <si>
    <t>2022-May-24</t>
  </si>
  <si>
    <t>2022-May-25</t>
  </si>
  <si>
    <t>2022-May-26</t>
  </si>
  <si>
    <t>2022-May-27</t>
  </si>
  <si>
    <t>2022-May-28</t>
  </si>
  <si>
    <t>2022-May-29</t>
  </si>
  <si>
    <t>2022-May-30</t>
  </si>
  <si>
    <t>2022-May-31</t>
  </si>
  <si>
    <t>+</t>
  </si>
  <si>
    <t>2022-Jun-01</t>
  </si>
  <si>
    <t>2022-Jun-02</t>
  </si>
  <si>
    <t>2022-Jun-03</t>
  </si>
  <si>
    <t>2022-Jun-04</t>
  </si>
  <si>
    <t>2022-Jun-05</t>
  </si>
  <si>
    <t>2022-Jun-06</t>
  </si>
  <si>
    <t>2022-Jun-07</t>
  </si>
  <si>
    <t>2022-Jun-08</t>
  </si>
  <si>
    <t>2022-Jun-09</t>
  </si>
  <si>
    <t>2022-Jun-10</t>
  </si>
  <si>
    <t>2022-Jun-11</t>
  </si>
  <si>
    <t>2022-Jun-12</t>
  </si>
  <si>
    <t>2022-Jun-13</t>
  </si>
  <si>
    <t>2022-Jun-14</t>
  </si>
  <si>
    <t>2022-Jun-15</t>
  </si>
  <si>
    <t>2022-Jun-16</t>
  </si>
  <si>
    <t>2022-Jun-17</t>
  </si>
  <si>
    <t>2022-Jun-18</t>
  </si>
  <si>
    <t>2022-Jun-19</t>
  </si>
  <si>
    <t>2022-Jun-20</t>
  </si>
  <si>
    <t>2022-Jun-21</t>
  </si>
  <si>
    <t>2022-Jun-22</t>
  </si>
  <si>
    <t>2022-Jun-23</t>
  </si>
  <si>
    <t>2022-Jun-24</t>
  </si>
  <si>
    <t>2022-Jun-25</t>
  </si>
  <si>
    <t>2022-Jun-26</t>
  </si>
  <si>
    <t>2022-Jun-27</t>
  </si>
  <si>
    <t>2022-Jun-28</t>
  </si>
  <si>
    <t>2022-Jun-29</t>
  </si>
  <si>
    <t>2022-Jun-30</t>
  </si>
  <si>
    <t>2022-Jul-01</t>
  </si>
  <si>
    <t>2022-Jul-02</t>
  </si>
  <si>
    <t>2022-Jul-03</t>
  </si>
  <si>
    <t>2022-Jul-04</t>
  </si>
  <si>
    <t>2022-Jul-05</t>
  </si>
  <si>
    <t>2022-Jul-06</t>
  </si>
  <si>
    <t>2022-Jul-07</t>
  </si>
  <si>
    <t>2022-Jul-08</t>
  </si>
  <si>
    <t>2022-Jul-09</t>
  </si>
  <si>
    <t>2022-Jul-10</t>
  </si>
  <si>
    <t>2022-Jul-11</t>
  </si>
  <si>
    <t>2022-Jul-12</t>
  </si>
  <si>
    <t>2022-Jul-13</t>
  </si>
  <si>
    <t>2022-Jul-14</t>
  </si>
  <si>
    <t>2022-Jul-15</t>
  </si>
  <si>
    <t>2022-Jul-16</t>
  </si>
  <si>
    <t>2022-Jul-17</t>
  </si>
  <si>
    <t>2022-Jul-18</t>
  </si>
  <si>
    <t>2022-Jul-19</t>
  </si>
  <si>
    <t>2022-Jul-20</t>
  </si>
  <si>
    <t>2022-Jul-21</t>
  </si>
  <si>
    <t>2022-Jul-22</t>
  </si>
  <si>
    <t>2022-Jul-23</t>
  </si>
  <si>
    <t>2022-Jul-24</t>
  </si>
  <si>
    <t>2022-Jul-25</t>
  </si>
  <si>
    <t>2022-Jul-26</t>
  </si>
  <si>
    <t>2022-Jul-27</t>
  </si>
  <si>
    <t>2022-Jul-28</t>
  </si>
  <si>
    <t>2022-Jul-29</t>
  </si>
  <si>
    <t>2022-Jul-30</t>
  </si>
  <si>
    <t>2022-Jul-31</t>
  </si>
  <si>
    <t>2022-Sep-01</t>
  </si>
  <si>
    <t>2022-Sep-02</t>
  </si>
  <si>
    <t>2022-Sep-03</t>
  </si>
  <si>
    <t>2022-Sep-04</t>
  </si>
  <si>
    <t>2022-Sep-05</t>
  </si>
  <si>
    <t>2022-Sep-06</t>
  </si>
  <si>
    <t>2022-Sep-07</t>
  </si>
  <si>
    <t>2022-Sep-08</t>
  </si>
  <si>
    <t>2022-Sep-09</t>
  </si>
  <si>
    <t>2022-Sep-10</t>
  </si>
  <si>
    <t>2022-Sep-11</t>
  </si>
  <si>
    <t>2022-Sep-12</t>
  </si>
  <si>
    <t>2022-Sep-13</t>
  </si>
  <si>
    <t>2022-Sep-14</t>
  </si>
  <si>
    <t>2022-Sep-15</t>
  </si>
  <si>
    <t>2022-Sep-16</t>
  </si>
  <si>
    <t>2022-Sep-17</t>
  </si>
  <si>
    <t>2022-Sep-18</t>
  </si>
  <si>
    <t>2022-Sep-19</t>
  </si>
  <si>
    <t>2022-Sep-20</t>
  </si>
  <si>
    <t>2022-Sep-21</t>
  </si>
  <si>
    <t>2022-Sep-22</t>
  </si>
  <si>
    <t>2022-Sep-23</t>
  </si>
  <si>
    <t>2022-Sep-24</t>
  </si>
  <si>
    <t>2022-Sep-25</t>
  </si>
  <si>
    <t>2022-Sep-26</t>
  </si>
  <si>
    <t>2022-Sep-27</t>
  </si>
  <si>
    <t>2022-Sep-28</t>
  </si>
  <si>
    <t>2022-Sep-29</t>
  </si>
  <si>
    <t>2022-Sep-30</t>
  </si>
  <si>
    <t>2022-Oct-01</t>
  </si>
  <si>
    <t>2022-Oct-02</t>
  </si>
  <si>
    <t>2022-Oct-03</t>
  </si>
  <si>
    <t>2022-Oct-04</t>
  </si>
  <si>
    <t>2022-Oct-05</t>
  </si>
  <si>
    <t>2022-Oct-06</t>
  </si>
  <si>
    <t>2022-Oct-07</t>
  </si>
  <si>
    <t>2022-Oct-08</t>
  </si>
  <si>
    <t>2022-Oct-09</t>
  </si>
  <si>
    <t>2022-Oct-10</t>
  </si>
  <si>
    <t>2022-Oct-11</t>
  </si>
  <si>
    <t>2022-Oct-12</t>
  </si>
  <si>
    <t>2022-Oct-13</t>
  </si>
  <si>
    <t>2022-Oct-14</t>
  </si>
  <si>
    <t>2022-Oct-15</t>
  </si>
  <si>
    <t>2022-Oct-16</t>
  </si>
  <si>
    <t>2022-Oct-17</t>
  </si>
  <si>
    <t>2022-Oct-18</t>
  </si>
  <si>
    <t>2022-Oct-19</t>
  </si>
  <si>
    <t>2022-Oct-20</t>
  </si>
  <si>
    <t>2022-Oct-21</t>
  </si>
  <si>
    <t>2022-Oct-22</t>
  </si>
  <si>
    <t>2022-Oct-23</t>
  </si>
  <si>
    <t>2022-Oct-24</t>
  </si>
  <si>
    <t>2022-Oct-25</t>
  </si>
  <si>
    <t>2022-Oct-26</t>
  </si>
  <si>
    <t>2022-Oct-27</t>
  </si>
  <si>
    <t>2022-Oct-28</t>
  </si>
  <si>
    <t>2022-Oct-29</t>
  </si>
  <si>
    <t>2022-Oct-30</t>
  </si>
  <si>
    <t>2022-Oct-31</t>
  </si>
  <si>
    <t>-</t>
  </si>
  <si>
    <t>Mars</t>
  </si>
  <si>
    <t>Vénusz</t>
  </si>
  <si>
    <t>Dátum</t>
  </si>
  <si>
    <t>Óra</t>
  </si>
  <si>
    <t>Perc</t>
  </si>
  <si>
    <t>Mperc</t>
  </si>
  <si>
    <t>°</t>
  </si>
  <si>
    <t>'</t>
  </si>
  <si>
    <t xml:space="preserve"> Idő(s)</t>
  </si>
  <si>
    <t>Szög(°)</t>
  </si>
  <si>
    <t>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</si>
</sst>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/>
    <xf numFmtId="14" fontId="0" fillId="0" borderId="0" xfId="0" applyNumberFormat="1"/>
    <xf numFmtId="14" fontId="0" fillId="0" borderId="4" xfId="0" applyNumberFormat="1" applyBorder="1"/>
    <xf numFmtId="0" fontId="0" fillId="0" borderId="0" xfId="0" applyNumberFormat="1"/>
    <xf numFmtId="2" fontId="0" fillId="0" borderId="0" xfId="0" applyNumberFormat="1"/>
    <xf numFmtId="0" fontId="1" fillId="0" borderId="1" xfId="0" applyNumberFormat="1" applyFont="1" applyBorder="1"/>
    <xf numFmtId="0" fontId="1" fillId="0" borderId="2" xfId="0" applyNumberFormat="1" applyFont="1" applyBorder="1" applyAlignment="1">
      <alignment horizontal="center"/>
    </xf>
    <xf numFmtId="0" fontId="1" fillId="0" borderId="3" xfId="0" applyNumberFormat="1" applyFont="1" applyBorder="1" applyAlignment="1">
      <alignment horizontal="center"/>
    </xf>
    <xf numFmtId="0" fontId="1" fillId="0" borderId="4" xfId="0" applyNumberFormat="1" applyFont="1" applyBorder="1"/>
    <xf numFmtId="0" fontId="1" fillId="0" borderId="5" xfId="0" applyNumberFormat="1" applyFont="1" applyBorder="1"/>
    <xf numFmtId="0" fontId="1" fillId="0" borderId="6" xfId="0" applyNumberFormat="1" applyFon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C5F08-A4F9-4E6E-834D-CE4A9B5923F3}">
  <dimension ref="A1:H365"/>
  <sheetViews>
    <sheetView zoomScaleNormal="100" workbookViewId="0">
      <selection activeCell="J163" sqref="J163"/>
    </sheetView>
  </sheetViews>
  <sheetFormatPr defaultRowHeight="15" x14ac:dyDescent="0.25"/>
  <cols>
    <col min="1" max="1" width="19.42578125" style="2" customWidth="1"/>
    <col min="2" max="3" width="9.140625" style="5"/>
  </cols>
  <sheetData>
    <row r="1" spans="1:8" x14ac:dyDescent="0.25">
      <c r="A1" s="2">
        <v>44562</v>
      </c>
      <c r="B1" s="4">
        <v>16</v>
      </c>
      <c r="C1" s="4">
        <v>45</v>
      </c>
      <c r="D1" s="4">
        <v>21.41</v>
      </c>
      <c r="E1" s="4" t="s">
        <v>215</v>
      </c>
      <c r="F1" s="4">
        <v>22</v>
      </c>
      <c r="G1" s="4">
        <v>27</v>
      </c>
      <c r="H1" s="4">
        <v>40.299999999999997</v>
      </c>
    </row>
    <row r="2" spans="1:8" x14ac:dyDescent="0.25">
      <c r="A2" s="2">
        <v>44563</v>
      </c>
      <c r="B2" s="4">
        <v>16</v>
      </c>
      <c r="C2" s="4">
        <v>48</v>
      </c>
      <c r="D2" s="4">
        <v>24.36</v>
      </c>
      <c r="E2" s="4" t="s">
        <v>215</v>
      </c>
      <c r="F2" s="4">
        <v>22</v>
      </c>
      <c r="G2" s="4">
        <v>33</v>
      </c>
      <c r="H2" s="4">
        <v>39</v>
      </c>
    </row>
    <row r="3" spans="1:8" x14ac:dyDescent="0.25">
      <c r="A3" s="2">
        <v>44564</v>
      </c>
      <c r="B3" s="4">
        <v>16</v>
      </c>
      <c r="C3" s="4">
        <v>51</v>
      </c>
      <c r="D3" s="4">
        <v>27.72</v>
      </c>
      <c r="E3" s="4" t="s">
        <v>215</v>
      </c>
      <c r="F3" s="4">
        <v>22</v>
      </c>
      <c r="G3" s="4">
        <v>39</v>
      </c>
      <c r="H3" s="4">
        <v>25.3</v>
      </c>
    </row>
    <row r="4" spans="1:8" x14ac:dyDescent="0.25">
      <c r="A4" s="2">
        <v>44565</v>
      </c>
      <c r="B4" s="4">
        <v>16</v>
      </c>
      <c r="C4" s="4">
        <v>54</v>
      </c>
      <c r="D4" s="4">
        <v>31.5</v>
      </c>
      <c r="E4" s="4" t="s">
        <v>215</v>
      </c>
      <c r="F4" s="4">
        <v>22</v>
      </c>
      <c r="G4" s="4">
        <v>44</v>
      </c>
      <c r="H4" s="4">
        <v>59</v>
      </c>
    </row>
    <row r="5" spans="1:8" x14ac:dyDescent="0.25">
      <c r="A5" s="2">
        <v>44566</v>
      </c>
      <c r="B5" s="4">
        <v>16</v>
      </c>
      <c r="C5" s="4">
        <v>57</v>
      </c>
      <c r="D5" s="4">
        <v>35.68</v>
      </c>
      <c r="E5" s="4" t="s">
        <v>215</v>
      </c>
      <c r="F5" s="4">
        <v>22</v>
      </c>
      <c r="G5" s="4">
        <v>50</v>
      </c>
      <c r="H5" s="4">
        <v>20</v>
      </c>
    </row>
    <row r="6" spans="1:8" x14ac:dyDescent="0.25">
      <c r="A6" s="2">
        <v>44567</v>
      </c>
      <c r="B6" s="4">
        <v>17</v>
      </c>
      <c r="C6" s="4">
        <v>0</v>
      </c>
      <c r="D6" s="4">
        <v>40.25</v>
      </c>
      <c r="E6" s="4" t="s">
        <v>215</v>
      </c>
      <c r="F6" s="4">
        <v>22</v>
      </c>
      <c r="G6" s="4">
        <v>55</v>
      </c>
      <c r="H6" s="4">
        <v>28.2</v>
      </c>
    </row>
    <row r="7" spans="1:8" x14ac:dyDescent="0.25">
      <c r="A7" s="2">
        <v>44568</v>
      </c>
      <c r="B7" s="4">
        <v>17</v>
      </c>
      <c r="C7" s="4">
        <v>3</v>
      </c>
      <c r="D7" s="4">
        <v>45.2</v>
      </c>
      <c r="E7" s="4" t="s">
        <v>215</v>
      </c>
      <c r="F7" s="4">
        <v>23</v>
      </c>
      <c r="G7" s="4">
        <v>0</v>
      </c>
      <c r="H7" s="4">
        <v>23.5</v>
      </c>
    </row>
    <row r="8" spans="1:8" x14ac:dyDescent="0.25">
      <c r="A8" s="2">
        <v>44569</v>
      </c>
      <c r="B8" s="4">
        <v>17</v>
      </c>
      <c r="C8" s="4">
        <v>6</v>
      </c>
      <c r="D8" s="4">
        <v>50.52</v>
      </c>
      <c r="E8" s="4" t="s">
        <v>215</v>
      </c>
      <c r="F8" s="4">
        <v>23</v>
      </c>
      <c r="G8" s="4">
        <v>5</v>
      </c>
      <c r="H8" s="4">
        <v>5.7</v>
      </c>
    </row>
    <row r="9" spans="1:8" x14ac:dyDescent="0.25">
      <c r="A9" s="2">
        <v>44570</v>
      </c>
      <c r="B9" s="4">
        <v>17</v>
      </c>
      <c r="C9" s="4">
        <v>9</v>
      </c>
      <c r="D9" s="4">
        <v>56.2</v>
      </c>
      <c r="E9" s="4" t="s">
        <v>215</v>
      </c>
      <c r="F9" s="4">
        <v>23</v>
      </c>
      <c r="G9" s="4">
        <v>9</v>
      </c>
      <c r="H9" s="4">
        <v>34.9</v>
      </c>
    </row>
    <row r="10" spans="1:8" x14ac:dyDescent="0.25">
      <c r="A10" s="2">
        <v>44571</v>
      </c>
      <c r="B10" s="4">
        <v>17</v>
      </c>
      <c r="C10" s="4">
        <v>13</v>
      </c>
      <c r="D10" s="4">
        <v>2.25</v>
      </c>
      <c r="E10" s="4" t="s">
        <v>215</v>
      </c>
      <c r="F10" s="4">
        <v>23</v>
      </c>
      <c r="G10" s="4">
        <v>13</v>
      </c>
      <c r="H10" s="4">
        <v>50.9</v>
      </c>
    </row>
    <row r="11" spans="1:8" x14ac:dyDescent="0.25">
      <c r="A11" s="2">
        <v>44572</v>
      </c>
      <c r="B11" s="4">
        <v>17</v>
      </c>
      <c r="C11" s="4">
        <v>16</v>
      </c>
      <c r="D11" s="4">
        <v>8.6300000000000008</v>
      </c>
      <c r="E11" s="4" t="s">
        <v>215</v>
      </c>
      <c r="F11" s="4">
        <v>23</v>
      </c>
      <c r="G11" s="4">
        <v>17</v>
      </c>
      <c r="H11" s="4">
        <v>53.5</v>
      </c>
    </row>
    <row r="12" spans="1:8" x14ac:dyDescent="0.25">
      <c r="A12" s="2">
        <v>44573</v>
      </c>
      <c r="B12" s="4">
        <v>17</v>
      </c>
      <c r="C12" s="4">
        <v>19</v>
      </c>
      <c r="D12" s="4">
        <v>15.36</v>
      </c>
      <c r="E12" s="4" t="s">
        <v>215</v>
      </c>
      <c r="F12" s="4">
        <v>23</v>
      </c>
      <c r="G12" s="4">
        <v>21</v>
      </c>
      <c r="H12" s="4">
        <v>42.9</v>
      </c>
    </row>
    <row r="13" spans="1:8" x14ac:dyDescent="0.25">
      <c r="A13" s="2">
        <v>44574</v>
      </c>
      <c r="B13" s="4">
        <v>17</v>
      </c>
      <c r="C13" s="4">
        <v>22</v>
      </c>
      <c r="D13" s="4">
        <v>22.42</v>
      </c>
      <c r="E13" s="4" t="s">
        <v>215</v>
      </c>
      <c r="F13" s="4">
        <v>23</v>
      </c>
      <c r="G13" s="4">
        <v>25</v>
      </c>
      <c r="H13" s="4">
        <v>18.8</v>
      </c>
    </row>
    <row r="14" spans="1:8" x14ac:dyDescent="0.25">
      <c r="A14" s="2">
        <v>44575</v>
      </c>
      <c r="B14" s="4">
        <v>17</v>
      </c>
      <c r="C14" s="4">
        <v>25</v>
      </c>
      <c r="D14" s="4">
        <v>29.79</v>
      </c>
      <c r="E14" s="4" t="s">
        <v>215</v>
      </c>
      <c r="F14" s="4">
        <v>23</v>
      </c>
      <c r="G14" s="4">
        <v>28</v>
      </c>
      <c r="H14" s="4">
        <v>41.1</v>
      </c>
    </row>
    <row r="15" spans="1:8" x14ac:dyDescent="0.25">
      <c r="A15" s="2">
        <v>44576</v>
      </c>
      <c r="B15" s="4">
        <v>17</v>
      </c>
      <c r="C15" s="4">
        <v>28</v>
      </c>
      <c r="D15" s="4">
        <v>37.49</v>
      </c>
      <c r="E15" s="4" t="s">
        <v>215</v>
      </c>
      <c r="F15" s="4">
        <v>23</v>
      </c>
      <c r="G15" s="4">
        <v>31</v>
      </c>
      <c r="H15" s="4">
        <v>49.9</v>
      </c>
    </row>
    <row r="16" spans="1:8" x14ac:dyDescent="0.25">
      <c r="A16" s="2">
        <v>44577</v>
      </c>
      <c r="B16" s="4">
        <v>17</v>
      </c>
      <c r="C16" s="4">
        <v>31</v>
      </c>
      <c r="D16" s="4">
        <v>45.48</v>
      </c>
      <c r="E16" s="4" t="s">
        <v>215</v>
      </c>
      <c r="F16" s="4">
        <v>23</v>
      </c>
      <c r="G16" s="4">
        <v>34</v>
      </c>
      <c r="H16" s="4">
        <v>45</v>
      </c>
    </row>
    <row r="17" spans="1:8" x14ac:dyDescent="0.25">
      <c r="A17" s="2">
        <v>44578</v>
      </c>
      <c r="B17" s="4">
        <v>17</v>
      </c>
      <c r="C17" s="4">
        <v>34</v>
      </c>
      <c r="D17" s="4">
        <v>53.77</v>
      </c>
      <c r="E17" s="4" t="s">
        <v>215</v>
      </c>
      <c r="F17" s="4">
        <v>23</v>
      </c>
      <c r="G17" s="4">
        <v>37</v>
      </c>
      <c r="H17" s="4">
        <v>26.3</v>
      </c>
    </row>
    <row r="18" spans="1:8" x14ac:dyDescent="0.25">
      <c r="A18" s="2">
        <v>44579</v>
      </c>
      <c r="B18" s="4">
        <v>17</v>
      </c>
      <c r="C18" s="4">
        <v>38</v>
      </c>
      <c r="D18" s="4">
        <v>2.35</v>
      </c>
      <c r="E18" s="4" t="s">
        <v>215</v>
      </c>
      <c r="F18" s="4">
        <v>23</v>
      </c>
      <c r="G18" s="4">
        <v>39</v>
      </c>
      <c r="H18" s="4">
        <v>53.9</v>
      </c>
    </row>
    <row r="19" spans="1:8" x14ac:dyDescent="0.25">
      <c r="A19" s="2">
        <v>44580</v>
      </c>
      <c r="B19" s="4">
        <v>17</v>
      </c>
      <c r="C19" s="4">
        <v>41</v>
      </c>
      <c r="D19" s="4">
        <v>11.2</v>
      </c>
      <c r="E19" s="4" t="s">
        <v>215</v>
      </c>
      <c r="F19" s="4">
        <v>23</v>
      </c>
      <c r="G19" s="4">
        <v>42</v>
      </c>
      <c r="H19" s="4">
        <v>7.5</v>
      </c>
    </row>
    <row r="20" spans="1:8" x14ac:dyDescent="0.25">
      <c r="A20" s="2">
        <v>44581</v>
      </c>
      <c r="B20" s="4">
        <v>17</v>
      </c>
      <c r="C20" s="4">
        <v>44</v>
      </c>
      <c r="D20" s="4">
        <v>20.32</v>
      </c>
      <c r="E20" s="4" t="s">
        <v>215</v>
      </c>
      <c r="F20" s="4">
        <v>23</v>
      </c>
      <c r="G20" s="4">
        <v>44</v>
      </c>
      <c r="H20" s="4">
        <v>7.3</v>
      </c>
    </row>
    <row r="21" spans="1:8" x14ac:dyDescent="0.25">
      <c r="A21" s="2">
        <v>44582</v>
      </c>
      <c r="B21" s="4">
        <v>17</v>
      </c>
      <c r="C21" s="4">
        <v>47</v>
      </c>
      <c r="D21" s="4">
        <v>29.69</v>
      </c>
      <c r="E21" s="4" t="s">
        <v>215</v>
      </c>
      <c r="F21" s="4">
        <v>23</v>
      </c>
      <c r="G21" s="4">
        <v>45</v>
      </c>
      <c r="H21" s="4">
        <v>53</v>
      </c>
    </row>
    <row r="22" spans="1:8" x14ac:dyDescent="0.25">
      <c r="A22" s="2">
        <v>44583</v>
      </c>
      <c r="B22" s="4">
        <v>17</v>
      </c>
      <c r="C22" s="4">
        <v>50</v>
      </c>
      <c r="D22" s="4">
        <v>39.32</v>
      </c>
      <c r="E22" s="4" t="s">
        <v>215</v>
      </c>
      <c r="F22" s="4">
        <v>23</v>
      </c>
      <c r="G22" s="4">
        <v>47</v>
      </c>
      <c r="H22" s="4">
        <v>24.7</v>
      </c>
    </row>
    <row r="23" spans="1:8" x14ac:dyDescent="0.25">
      <c r="A23" s="2">
        <v>44584</v>
      </c>
      <c r="B23" s="4">
        <v>17</v>
      </c>
      <c r="C23" s="4">
        <v>53</v>
      </c>
      <c r="D23" s="4">
        <v>49.17</v>
      </c>
      <c r="E23" s="4" t="s">
        <v>215</v>
      </c>
      <c r="F23" s="4">
        <v>23</v>
      </c>
      <c r="G23" s="4">
        <v>48</v>
      </c>
      <c r="H23" s="4">
        <v>42.2</v>
      </c>
    </row>
    <row r="24" spans="1:8" x14ac:dyDescent="0.25">
      <c r="A24" s="2">
        <v>44585</v>
      </c>
      <c r="B24" s="4">
        <v>17</v>
      </c>
      <c r="C24" s="4">
        <v>56</v>
      </c>
      <c r="D24" s="4">
        <v>59.26</v>
      </c>
      <c r="E24" s="4" t="s">
        <v>215</v>
      </c>
      <c r="F24" s="4">
        <v>23</v>
      </c>
      <c r="G24" s="4">
        <v>49</v>
      </c>
      <c r="H24" s="4">
        <v>45.6</v>
      </c>
    </row>
    <row r="25" spans="1:8" x14ac:dyDescent="0.25">
      <c r="A25" s="2">
        <v>44586</v>
      </c>
      <c r="B25" s="4">
        <v>18</v>
      </c>
      <c r="C25" s="4">
        <v>0</v>
      </c>
      <c r="D25" s="4">
        <v>9.5500000000000007</v>
      </c>
      <c r="E25" s="4" t="s">
        <v>215</v>
      </c>
      <c r="F25" s="4">
        <v>23</v>
      </c>
      <c r="G25" s="4">
        <v>50</v>
      </c>
      <c r="H25" s="4">
        <v>34.700000000000003</v>
      </c>
    </row>
    <row r="26" spans="1:8" x14ac:dyDescent="0.25">
      <c r="A26" s="2">
        <v>44587</v>
      </c>
      <c r="B26" s="4">
        <v>18</v>
      </c>
      <c r="C26" s="4">
        <v>3</v>
      </c>
      <c r="D26" s="4">
        <v>20.05</v>
      </c>
      <c r="E26" s="4" t="s">
        <v>215</v>
      </c>
      <c r="F26" s="4">
        <v>23</v>
      </c>
      <c r="G26" s="4">
        <v>51</v>
      </c>
      <c r="H26" s="4">
        <v>9.6</v>
      </c>
    </row>
    <row r="27" spans="1:8" x14ac:dyDescent="0.25">
      <c r="A27" s="2">
        <v>44588</v>
      </c>
      <c r="B27" s="4">
        <v>18</v>
      </c>
      <c r="C27" s="4">
        <v>6</v>
      </c>
      <c r="D27" s="4">
        <v>30.73</v>
      </c>
      <c r="E27" s="4" t="s">
        <v>215</v>
      </c>
      <c r="F27" s="4">
        <v>23</v>
      </c>
      <c r="G27" s="4">
        <v>51</v>
      </c>
      <c r="H27" s="4">
        <v>30.2</v>
      </c>
    </row>
    <row r="28" spans="1:8" x14ac:dyDescent="0.25">
      <c r="A28" s="2">
        <v>44589</v>
      </c>
      <c r="B28" s="4">
        <v>18</v>
      </c>
      <c r="C28" s="4">
        <v>9</v>
      </c>
      <c r="D28" s="4">
        <v>41.58</v>
      </c>
      <c r="E28" s="4" t="s">
        <v>215</v>
      </c>
      <c r="F28" s="4">
        <v>23</v>
      </c>
      <c r="G28" s="4">
        <v>51</v>
      </c>
      <c r="H28" s="4">
        <v>36.4</v>
      </c>
    </row>
    <row r="29" spans="1:8" x14ac:dyDescent="0.25">
      <c r="A29" s="2">
        <v>44590</v>
      </c>
      <c r="B29" s="4">
        <v>18</v>
      </c>
      <c r="C29" s="4">
        <v>12</v>
      </c>
      <c r="D29" s="4">
        <v>52.59</v>
      </c>
      <c r="E29" s="4" t="s">
        <v>215</v>
      </c>
      <c r="F29" s="4">
        <v>23</v>
      </c>
      <c r="G29" s="4">
        <v>51</v>
      </c>
      <c r="H29" s="4">
        <v>28.3</v>
      </c>
    </row>
    <row r="30" spans="1:8" x14ac:dyDescent="0.25">
      <c r="A30" s="2">
        <v>44591</v>
      </c>
      <c r="B30" s="4">
        <v>18</v>
      </c>
      <c r="C30" s="4">
        <v>16</v>
      </c>
      <c r="D30" s="4">
        <v>3.74</v>
      </c>
      <c r="E30" s="4" t="s">
        <v>215</v>
      </c>
      <c r="F30" s="4">
        <v>23</v>
      </c>
      <c r="G30" s="4">
        <v>51</v>
      </c>
      <c r="H30" s="4">
        <v>5.7</v>
      </c>
    </row>
    <row r="31" spans="1:8" x14ac:dyDescent="0.25">
      <c r="A31" s="2">
        <v>44592</v>
      </c>
      <c r="B31" s="4">
        <v>18</v>
      </c>
      <c r="C31" s="4">
        <v>19</v>
      </c>
      <c r="D31" s="4">
        <v>15.03</v>
      </c>
      <c r="E31" s="4" t="s">
        <v>215</v>
      </c>
      <c r="F31" s="4">
        <v>23</v>
      </c>
      <c r="G31" s="4">
        <v>50</v>
      </c>
      <c r="H31" s="4">
        <v>28.7</v>
      </c>
    </row>
    <row r="32" spans="1:8" x14ac:dyDescent="0.25">
      <c r="A32" s="2">
        <v>44593</v>
      </c>
      <c r="B32" s="4">
        <v>18</v>
      </c>
      <c r="C32" s="4">
        <v>22</v>
      </c>
      <c r="D32" s="4">
        <v>26.42</v>
      </c>
      <c r="E32" s="4" t="s">
        <v>215</v>
      </c>
      <c r="F32" s="4">
        <v>23</v>
      </c>
      <c r="G32" s="4">
        <v>49</v>
      </c>
      <c r="H32" s="4">
        <v>37.200000000000003</v>
      </c>
    </row>
    <row r="33" spans="1:8" x14ac:dyDescent="0.25">
      <c r="A33" s="2">
        <v>44594</v>
      </c>
      <c r="B33" s="4">
        <v>18</v>
      </c>
      <c r="C33" s="4">
        <v>25</v>
      </c>
      <c r="D33" s="4">
        <v>37.909999999999997</v>
      </c>
      <c r="E33" s="4" t="s">
        <v>215</v>
      </c>
      <c r="F33" s="4">
        <v>23</v>
      </c>
      <c r="G33" s="4">
        <v>48</v>
      </c>
      <c r="H33" s="4">
        <v>31.2</v>
      </c>
    </row>
    <row r="34" spans="1:8" x14ac:dyDescent="0.25">
      <c r="A34" s="2">
        <v>44595</v>
      </c>
      <c r="B34" s="4">
        <v>18</v>
      </c>
      <c r="C34" s="4">
        <v>28</v>
      </c>
      <c r="D34" s="4">
        <v>49.49</v>
      </c>
      <c r="E34" s="4" t="s">
        <v>215</v>
      </c>
      <c r="F34" s="4">
        <v>23</v>
      </c>
      <c r="G34" s="4">
        <v>47</v>
      </c>
      <c r="H34" s="4">
        <v>10.7</v>
      </c>
    </row>
    <row r="35" spans="1:8" x14ac:dyDescent="0.25">
      <c r="A35" s="2">
        <v>44596</v>
      </c>
      <c r="B35" s="4">
        <v>18</v>
      </c>
      <c r="C35" s="4">
        <v>32</v>
      </c>
      <c r="D35" s="4">
        <v>1.1299999999999999</v>
      </c>
      <c r="E35" s="4" t="s">
        <v>215</v>
      </c>
      <c r="F35" s="4">
        <v>23</v>
      </c>
      <c r="G35" s="4">
        <v>45</v>
      </c>
      <c r="H35" s="4">
        <v>35.799999999999997</v>
      </c>
    </row>
    <row r="36" spans="1:8" x14ac:dyDescent="0.25">
      <c r="A36" s="2">
        <v>44597</v>
      </c>
      <c r="B36" s="4">
        <v>18</v>
      </c>
      <c r="C36" s="4">
        <v>35</v>
      </c>
      <c r="D36" s="4">
        <v>12.83</v>
      </c>
      <c r="E36" s="4" t="s">
        <v>215</v>
      </c>
      <c r="F36" s="4">
        <v>23</v>
      </c>
      <c r="G36" s="4">
        <v>43</v>
      </c>
      <c r="H36" s="4">
        <v>46.3</v>
      </c>
    </row>
    <row r="37" spans="1:8" x14ac:dyDescent="0.25">
      <c r="A37" s="2">
        <v>44598</v>
      </c>
      <c r="B37" s="4">
        <v>18</v>
      </c>
      <c r="C37" s="4">
        <v>38</v>
      </c>
      <c r="D37" s="4">
        <v>24.57</v>
      </c>
      <c r="E37" s="4" t="s">
        <v>215</v>
      </c>
      <c r="F37" s="4">
        <v>23</v>
      </c>
      <c r="G37" s="4">
        <v>41</v>
      </c>
      <c r="H37" s="4">
        <v>42.3</v>
      </c>
    </row>
    <row r="38" spans="1:8" x14ac:dyDescent="0.25">
      <c r="A38" s="2">
        <v>44599</v>
      </c>
      <c r="B38" s="4">
        <v>18</v>
      </c>
      <c r="C38" s="4">
        <v>41</v>
      </c>
      <c r="D38" s="4">
        <v>36.340000000000003</v>
      </c>
      <c r="E38" s="4" t="s">
        <v>215</v>
      </c>
      <c r="F38" s="4">
        <v>23</v>
      </c>
      <c r="G38" s="4">
        <v>39</v>
      </c>
      <c r="H38" s="4">
        <v>23.9</v>
      </c>
    </row>
    <row r="39" spans="1:8" x14ac:dyDescent="0.25">
      <c r="A39" s="2">
        <v>44600</v>
      </c>
      <c r="B39" s="4">
        <v>18</v>
      </c>
      <c r="C39" s="4">
        <v>44</v>
      </c>
      <c r="D39" s="4">
        <v>48.13</v>
      </c>
      <c r="E39" s="4" t="s">
        <v>215</v>
      </c>
      <c r="F39" s="4">
        <v>23</v>
      </c>
      <c r="G39" s="4">
        <v>36</v>
      </c>
      <c r="H39" s="4">
        <v>51</v>
      </c>
    </row>
    <row r="40" spans="1:8" x14ac:dyDescent="0.25">
      <c r="A40" s="2">
        <v>44601</v>
      </c>
      <c r="B40" s="4">
        <v>18</v>
      </c>
      <c r="C40" s="4">
        <v>47</v>
      </c>
      <c r="D40" s="4">
        <v>59.93</v>
      </c>
      <c r="E40" s="4" t="s">
        <v>215</v>
      </c>
      <c r="F40" s="4">
        <v>23</v>
      </c>
      <c r="G40" s="4">
        <v>34</v>
      </c>
      <c r="H40" s="4">
        <v>3.6</v>
      </c>
    </row>
    <row r="41" spans="1:8" x14ac:dyDescent="0.25">
      <c r="A41" s="2">
        <v>44602</v>
      </c>
      <c r="B41" s="4">
        <v>18</v>
      </c>
      <c r="C41" s="4">
        <v>51</v>
      </c>
      <c r="D41" s="4">
        <v>11.72</v>
      </c>
      <c r="E41" s="4" t="s">
        <v>215</v>
      </c>
      <c r="F41" s="4">
        <v>23</v>
      </c>
      <c r="G41" s="4">
        <v>31</v>
      </c>
      <c r="H41" s="4">
        <v>1.7</v>
      </c>
    </row>
    <row r="42" spans="1:8" x14ac:dyDescent="0.25">
      <c r="A42" s="2">
        <v>44603</v>
      </c>
      <c r="B42" s="4">
        <v>18</v>
      </c>
      <c r="C42" s="4">
        <v>54</v>
      </c>
      <c r="D42" s="4">
        <v>23.5</v>
      </c>
      <c r="E42" s="4" t="s">
        <v>215</v>
      </c>
      <c r="F42" s="4">
        <v>23</v>
      </c>
      <c r="G42" s="4">
        <v>27</v>
      </c>
      <c r="H42" s="4">
        <v>45.5</v>
      </c>
    </row>
    <row r="43" spans="1:8" x14ac:dyDescent="0.25">
      <c r="A43" s="2">
        <v>44604</v>
      </c>
      <c r="B43" s="4">
        <v>18</v>
      </c>
      <c r="C43" s="4">
        <v>57</v>
      </c>
      <c r="D43" s="4">
        <v>35.25</v>
      </c>
      <c r="E43" s="4" t="s">
        <v>215</v>
      </c>
      <c r="F43" s="4">
        <v>23</v>
      </c>
      <c r="G43" s="4">
        <v>24</v>
      </c>
      <c r="H43" s="4">
        <v>14.8</v>
      </c>
    </row>
    <row r="44" spans="1:8" x14ac:dyDescent="0.25">
      <c r="A44" s="2">
        <v>44605</v>
      </c>
      <c r="B44" s="4">
        <v>19</v>
      </c>
      <c r="C44" s="4">
        <v>0</v>
      </c>
      <c r="D44" s="4">
        <v>46.96</v>
      </c>
      <c r="E44" s="4" t="s">
        <v>215</v>
      </c>
      <c r="F44" s="4">
        <v>23</v>
      </c>
      <c r="G44" s="4">
        <v>20</v>
      </c>
      <c r="H44" s="4">
        <v>29.8</v>
      </c>
    </row>
    <row r="45" spans="1:8" x14ac:dyDescent="0.25">
      <c r="A45" s="2">
        <v>44606</v>
      </c>
      <c r="B45" s="4">
        <v>19</v>
      </c>
      <c r="C45" s="4">
        <v>3</v>
      </c>
      <c r="D45" s="4">
        <v>58.63</v>
      </c>
      <c r="E45" s="4" t="s">
        <v>215</v>
      </c>
      <c r="F45" s="4">
        <v>23</v>
      </c>
      <c r="G45" s="4">
        <v>16</v>
      </c>
      <c r="H45" s="4">
        <v>30.4</v>
      </c>
    </row>
    <row r="46" spans="1:8" x14ac:dyDescent="0.25">
      <c r="A46" s="2">
        <v>44607</v>
      </c>
      <c r="B46" s="4">
        <v>19</v>
      </c>
      <c r="C46" s="4">
        <v>7</v>
      </c>
      <c r="D46" s="4">
        <v>10.25</v>
      </c>
      <c r="E46" s="4" t="s">
        <v>215</v>
      </c>
      <c r="F46" s="4">
        <v>23</v>
      </c>
      <c r="G46" s="4">
        <v>12</v>
      </c>
      <c r="H46" s="4">
        <v>16.8</v>
      </c>
    </row>
    <row r="47" spans="1:8" x14ac:dyDescent="0.25">
      <c r="A47" s="2">
        <v>44608</v>
      </c>
      <c r="B47" s="4">
        <v>19</v>
      </c>
      <c r="C47" s="4">
        <v>10</v>
      </c>
      <c r="D47" s="4">
        <v>21.79</v>
      </c>
      <c r="E47" s="4" t="s">
        <v>215</v>
      </c>
      <c r="F47" s="4">
        <v>23</v>
      </c>
      <c r="G47" s="4">
        <v>7</v>
      </c>
      <c r="H47" s="4">
        <v>48.9</v>
      </c>
    </row>
    <row r="48" spans="1:8" x14ac:dyDescent="0.25">
      <c r="A48" s="2">
        <v>44609</v>
      </c>
      <c r="B48" s="4">
        <v>19</v>
      </c>
      <c r="C48" s="4">
        <v>13</v>
      </c>
      <c r="D48" s="4">
        <v>33.26</v>
      </c>
      <c r="E48" s="4" t="s">
        <v>215</v>
      </c>
      <c r="F48" s="4">
        <v>23</v>
      </c>
      <c r="G48" s="4">
        <v>3</v>
      </c>
      <c r="H48" s="4">
        <v>6.7</v>
      </c>
    </row>
    <row r="49" spans="1:8" x14ac:dyDescent="0.25">
      <c r="A49" s="2">
        <v>44610</v>
      </c>
      <c r="B49" s="4">
        <v>19</v>
      </c>
      <c r="C49" s="4">
        <v>16</v>
      </c>
      <c r="D49" s="4">
        <v>44.65</v>
      </c>
      <c r="E49" s="4" t="s">
        <v>215</v>
      </c>
      <c r="F49" s="4">
        <v>22</v>
      </c>
      <c r="G49" s="4">
        <v>58</v>
      </c>
      <c r="H49" s="4">
        <v>10.4</v>
      </c>
    </row>
    <row r="50" spans="1:8" x14ac:dyDescent="0.25">
      <c r="A50" s="2">
        <v>44611</v>
      </c>
      <c r="B50" s="4">
        <v>19</v>
      </c>
      <c r="C50" s="4">
        <v>19</v>
      </c>
      <c r="D50" s="4">
        <v>55.94</v>
      </c>
      <c r="E50" s="4" t="s">
        <v>215</v>
      </c>
      <c r="F50" s="4">
        <v>22</v>
      </c>
      <c r="G50" s="4">
        <v>52</v>
      </c>
      <c r="H50" s="4">
        <v>59.9</v>
      </c>
    </row>
    <row r="51" spans="1:8" x14ac:dyDescent="0.25">
      <c r="A51" s="2">
        <v>44612</v>
      </c>
      <c r="B51" s="4">
        <v>19</v>
      </c>
      <c r="C51" s="4">
        <v>23</v>
      </c>
      <c r="D51" s="4">
        <v>7.12</v>
      </c>
      <c r="E51" s="4" t="s">
        <v>215</v>
      </c>
      <c r="F51" s="4">
        <v>22</v>
      </c>
      <c r="G51" s="4">
        <v>47</v>
      </c>
      <c r="H51" s="4">
        <v>35.4</v>
      </c>
    </row>
    <row r="52" spans="1:8" x14ac:dyDescent="0.25">
      <c r="A52" s="2">
        <v>44613</v>
      </c>
      <c r="B52" s="4">
        <v>19</v>
      </c>
      <c r="C52" s="4">
        <v>26</v>
      </c>
      <c r="D52" s="4">
        <v>18.190000000000001</v>
      </c>
      <c r="E52" s="4" t="s">
        <v>215</v>
      </c>
      <c r="F52" s="4">
        <v>22</v>
      </c>
      <c r="G52" s="4">
        <v>41</v>
      </c>
      <c r="H52" s="4">
        <v>56.8</v>
      </c>
    </row>
    <row r="53" spans="1:8" x14ac:dyDescent="0.25">
      <c r="A53" s="2">
        <v>44614</v>
      </c>
      <c r="B53" s="4">
        <v>19</v>
      </c>
      <c r="C53" s="4">
        <v>29</v>
      </c>
      <c r="D53" s="4">
        <v>29.14</v>
      </c>
      <c r="E53" s="4" t="s">
        <v>215</v>
      </c>
      <c r="F53" s="4">
        <v>22</v>
      </c>
      <c r="G53" s="4">
        <v>36</v>
      </c>
      <c r="H53" s="4">
        <v>4.2</v>
      </c>
    </row>
    <row r="54" spans="1:8" x14ac:dyDescent="0.25">
      <c r="A54" s="2">
        <v>44615</v>
      </c>
      <c r="B54" s="4">
        <v>19</v>
      </c>
      <c r="C54" s="4">
        <v>32</v>
      </c>
      <c r="D54" s="4">
        <v>39.94</v>
      </c>
      <c r="E54" s="4" t="s">
        <v>215</v>
      </c>
      <c r="F54" s="4">
        <v>22</v>
      </c>
      <c r="G54" s="4">
        <v>29</v>
      </c>
      <c r="H54" s="4">
        <v>57.8</v>
      </c>
    </row>
    <row r="55" spans="1:8" x14ac:dyDescent="0.25">
      <c r="A55" s="2">
        <v>44616</v>
      </c>
      <c r="B55" s="4">
        <v>19</v>
      </c>
      <c r="C55" s="4">
        <v>35</v>
      </c>
      <c r="D55" s="4">
        <v>50.6</v>
      </c>
      <c r="E55" s="4" t="s">
        <v>215</v>
      </c>
      <c r="F55" s="4">
        <v>22</v>
      </c>
      <c r="G55" s="4">
        <v>23</v>
      </c>
      <c r="H55" s="4">
        <v>37.5</v>
      </c>
    </row>
    <row r="56" spans="1:8" x14ac:dyDescent="0.25">
      <c r="A56" s="2">
        <v>44617</v>
      </c>
      <c r="B56" s="4">
        <v>19</v>
      </c>
      <c r="C56" s="4">
        <v>39</v>
      </c>
      <c r="D56" s="4">
        <v>1.1000000000000001</v>
      </c>
      <c r="E56" s="4" t="s">
        <v>215</v>
      </c>
      <c r="F56" s="4">
        <v>22</v>
      </c>
      <c r="G56" s="4">
        <v>17</v>
      </c>
      <c r="H56" s="4">
        <v>3.4</v>
      </c>
    </row>
    <row r="57" spans="1:8" x14ac:dyDescent="0.25">
      <c r="A57" s="2">
        <v>44618</v>
      </c>
      <c r="B57" s="4">
        <v>19</v>
      </c>
      <c r="C57" s="4">
        <v>42</v>
      </c>
      <c r="D57" s="4">
        <v>11.43</v>
      </c>
      <c r="E57" s="4" t="s">
        <v>215</v>
      </c>
      <c r="F57" s="4">
        <v>22</v>
      </c>
      <c r="G57" s="4">
        <v>10</v>
      </c>
      <c r="H57" s="4">
        <v>15.6</v>
      </c>
    </row>
    <row r="58" spans="1:8" x14ac:dyDescent="0.25">
      <c r="A58" s="2">
        <v>44619</v>
      </c>
      <c r="B58" s="4">
        <v>19</v>
      </c>
      <c r="C58" s="4">
        <v>45</v>
      </c>
      <c r="D58" s="4">
        <v>21.58</v>
      </c>
      <c r="E58" s="4" t="s">
        <v>215</v>
      </c>
      <c r="F58" s="4">
        <v>22</v>
      </c>
      <c r="G58" s="4">
        <v>3</v>
      </c>
      <c r="H58" s="4">
        <v>14.2</v>
      </c>
    </row>
    <row r="59" spans="1:8" x14ac:dyDescent="0.25">
      <c r="A59" s="2">
        <v>44620</v>
      </c>
      <c r="B59" s="4">
        <v>19</v>
      </c>
      <c r="C59" s="4">
        <v>48</v>
      </c>
      <c r="D59" s="4">
        <v>31.52</v>
      </c>
      <c r="E59" s="4" t="s">
        <v>215</v>
      </c>
      <c r="F59" s="4">
        <v>21</v>
      </c>
      <c r="G59" s="4">
        <v>55</v>
      </c>
      <c r="H59" s="4">
        <v>59.3</v>
      </c>
    </row>
    <row r="60" spans="1:8" x14ac:dyDescent="0.25">
      <c r="A60" s="2" t="s">
        <v>0</v>
      </c>
      <c r="B60" s="4">
        <v>19</v>
      </c>
      <c r="C60" s="4">
        <v>51</v>
      </c>
      <c r="D60" s="4">
        <v>41.27</v>
      </c>
      <c r="E60" s="4" t="s">
        <v>215</v>
      </c>
      <c r="F60" s="4">
        <v>21</v>
      </c>
      <c r="G60" s="4">
        <v>48</v>
      </c>
      <c r="H60" s="4">
        <v>30.9</v>
      </c>
    </row>
    <row r="61" spans="1:8" x14ac:dyDescent="0.25">
      <c r="A61" s="2" t="s">
        <v>1</v>
      </c>
      <c r="B61" s="4">
        <v>19</v>
      </c>
      <c r="C61" s="4">
        <v>54</v>
      </c>
      <c r="D61" s="4">
        <v>50.79</v>
      </c>
      <c r="E61" s="4" t="s">
        <v>215</v>
      </c>
      <c r="F61" s="4">
        <v>21</v>
      </c>
      <c r="G61" s="4">
        <v>40</v>
      </c>
      <c r="H61" s="4">
        <v>49.2</v>
      </c>
    </row>
    <row r="62" spans="1:8" x14ac:dyDescent="0.25">
      <c r="A62" s="2" t="s">
        <v>2</v>
      </c>
      <c r="B62" s="4">
        <v>19</v>
      </c>
      <c r="C62" s="4">
        <v>58</v>
      </c>
      <c r="D62" s="4">
        <v>0.08</v>
      </c>
      <c r="E62" s="4" t="s">
        <v>215</v>
      </c>
      <c r="F62" s="4">
        <v>21</v>
      </c>
      <c r="G62" s="4">
        <v>32</v>
      </c>
      <c r="H62" s="4">
        <v>54.3</v>
      </c>
    </row>
    <row r="63" spans="1:8" x14ac:dyDescent="0.25">
      <c r="A63" s="2" t="s">
        <v>3</v>
      </c>
      <c r="B63" s="4">
        <v>20</v>
      </c>
      <c r="C63" s="4">
        <v>1</v>
      </c>
      <c r="D63" s="4">
        <v>9.1300000000000008</v>
      </c>
      <c r="E63" s="4" t="s">
        <v>215</v>
      </c>
      <c r="F63" s="4">
        <v>21</v>
      </c>
      <c r="G63" s="4">
        <v>24</v>
      </c>
      <c r="H63" s="4">
        <v>46.2</v>
      </c>
    </row>
    <row r="64" spans="1:8" x14ac:dyDescent="0.25">
      <c r="A64" s="2" t="s">
        <v>4</v>
      </c>
      <c r="B64" s="4">
        <v>20</v>
      </c>
      <c r="C64" s="4">
        <v>4</v>
      </c>
      <c r="D64" s="4">
        <v>17.93</v>
      </c>
      <c r="E64" s="4" t="s">
        <v>215</v>
      </c>
      <c r="F64" s="4">
        <v>21</v>
      </c>
      <c r="G64" s="4">
        <v>16</v>
      </c>
      <c r="H64" s="4">
        <v>25.1</v>
      </c>
    </row>
    <row r="65" spans="1:8" x14ac:dyDescent="0.25">
      <c r="A65" s="2" t="s">
        <v>5</v>
      </c>
      <c r="B65" s="4">
        <v>20</v>
      </c>
      <c r="C65" s="4">
        <v>7</v>
      </c>
      <c r="D65" s="4">
        <v>26.47</v>
      </c>
      <c r="E65" s="4" t="s">
        <v>215</v>
      </c>
      <c r="F65" s="4">
        <v>21</v>
      </c>
      <c r="G65" s="4">
        <v>7</v>
      </c>
      <c r="H65" s="4">
        <v>51.1</v>
      </c>
    </row>
    <row r="66" spans="1:8" x14ac:dyDescent="0.25">
      <c r="A66" s="2" t="s">
        <v>6</v>
      </c>
      <c r="B66" s="4">
        <v>20</v>
      </c>
      <c r="C66" s="4">
        <v>10</v>
      </c>
      <c r="D66" s="4">
        <v>34.75</v>
      </c>
      <c r="E66" s="4" t="s">
        <v>215</v>
      </c>
      <c r="F66" s="4">
        <v>20</v>
      </c>
      <c r="G66" s="4">
        <v>59</v>
      </c>
      <c r="H66" s="4">
        <v>4.3</v>
      </c>
    </row>
    <row r="67" spans="1:8" x14ac:dyDescent="0.25">
      <c r="A67" s="2" t="s">
        <v>7</v>
      </c>
      <c r="B67" s="4">
        <v>20</v>
      </c>
      <c r="C67" s="4">
        <v>13</v>
      </c>
      <c r="D67" s="4">
        <v>42.75</v>
      </c>
      <c r="E67" s="4" t="s">
        <v>215</v>
      </c>
      <c r="F67" s="4">
        <v>20</v>
      </c>
      <c r="G67" s="4">
        <v>50</v>
      </c>
      <c r="H67" s="4">
        <v>4.8</v>
      </c>
    </row>
    <row r="68" spans="1:8" x14ac:dyDescent="0.25">
      <c r="A68" s="2" t="s">
        <v>8</v>
      </c>
      <c r="B68" s="4">
        <v>20</v>
      </c>
      <c r="C68" s="4">
        <v>16</v>
      </c>
      <c r="D68" s="4">
        <v>50.47</v>
      </c>
      <c r="E68" s="4" t="s">
        <v>215</v>
      </c>
      <c r="F68" s="4">
        <v>20</v>
      </c>
      <c r="G68" s="4">
        <v>40</v>
      </c>
      <c r="H68" s="4">
        <v>52.7</v>
      </c>
    </row>
    <row r="69" spans="1:8" x14ac:dyDescent="0.25">
      <c r="A69" s="2" t="s">
        <v>9</v>
      </c>
      <c r="B69" s="4">
        <v>20</v>
      </c>
      <c r="C69" s="4">
        <v>19</v>
      </c>
      <c r="D69" s="4">
        <v>57.9</v>
      </c>
      <c r="E69" s="4" t="s">
        <v>215</v>
      </c>
      <c r="F69" s="4">
        <v>20</v>
      </c>
      <c r="G69" s="4">
        <v>31</v>
      </c>
      <c r="H69" s="4">
        <v>28.2</v>
      </c>
    </row>
    <row r="70" spans="1:8" x14ac:dyDescent="0.25">
      <c r="A70" s="2" t="s">
        <v>10</v>
      </c>
      <c r="B70" s="4">
        <v>20</v>
      </c>
      <c r="C70" s="4">
        <v>23</v>
      </c>
      <c r="D70" s="4">
        <v>5.05</v>
      </c>
      <c r="E70" s="4" t="s">
        <v>215</v>
      </c>
      <c r="F70" s="4">
        <v>20</v>
      </c>
      <c r="G70" s="4">
        <v>21</v>
      </c>
      <c r="H70" s="4">
        <v>51.3</v>
      </c>
    </row>
    <row r="71" spans="1:8" x14ac:dyDescent="0.25">
      <c r="A71" s="2" t="s">
        <v>11</v>
      </c>
      <c r="B71" s="4">
        <v>20</v>
      </c>
      <c r="C71" s="4">
        <v>26</v>
      </c>
      <c r="D71" s="4">
        <v>11.89</v>
      </c>
      <c r="E71" s="4" t="s">
        <v>215</v>
      </c>
      <c r="F71" s="4">
        <v>20</v>
      </c>
      <c r="G71" s="4">
        <v>12</v>
      </c>
      <c r="H71" s="4">
        <v>2.2999999999999998</v>
      </c>
    </row>
    <row r="72" spans="1:8" x14ac:dyDescent="0.25">
      <c r="A72" s="2" t="s">
        <v>12</v>
      </c>
      <c r="B72" s="4">
        <v>20</v>
      </c>
      <c r="C72" s="4">
        <v>29</v>
      </c>
      <c r="D72" s="4">
        <v>18.440000000000001</v>
      </c>
      <c r="E72" s="4" t="s">
        <v>215</v>
      </c>
      <c r="F72" s="4">
        <v>20</v>
      </c>
      <c r="G72" s="4">
        <v>2</v>
      </c>
      <c r="H72" s="4">
        <v>1.1000000000000001</v>
      </c>
    </row>
    <row r="73" spans="1:8" x14ac:dyDescent="0.25">
      <c r="A73" s="2" t="s">
        <v>13</v>
      </c>
      <c r="B73" s="4">
        <v>20</v>
      </c>
      <c r="C73" s="4">
        <v>32</v>
      </c>
      <c r="D73" s="4">
        <v>24.68</v>
      </c>
      <c r="E73" s="4" t="s">
        <v>215</v>
      </c>
      <c r="F73" s="4">
        <v>19</v>
      </c>
      <c r="G73" s="4">
        <v>51</v>
      </c>
      <c r="H73" s="4">
        <v>47.9</v>
      </c>
    </row>
    <row r="74" spans="1:8" x14ac:dyDescent="0.25">
      <c r="A74" s="2" t="s">
        <v>14</v>
      </c>
      <c r="B74" s="4">
        <v>20</v>
      </c>
      <c r="C74" s="4">
        <v>35</v>
      </c>
      <c r="D74" s="4">
        <v>30.62</v>
      </c>
      <c r="E74" s="4" t="s">
        <v>215</v>
      </c>
      <c r="F74" s="4">
        <v>19</v>
      </c>
      <c r="G74" s="4">
        <v>41</v>
      </c>
      <c r="H74" s="4">
        <v>23</v>
      </c>
    </row>
    <row r="75" spans="1:8" x14ac:dyDescent="0.25">
      <c r="A75" s="2" t="s">
        <v>15</v>
      </c>
      <c r="B75" s="4">
        <v>20</v>
      </c>
      <c r="C75" s="4">
        <v>38</v>
      </c>
      <c r="D75" s="4">
        <v>36.24</v>
      </c>
      <c r="E75" s="4" t="s">
        <v>215</v>
      </c>
      <c r="F75" s="4">
        <v>19</v>
      </c>
      <c r="G75" s="4">
        <v>30</v>
      </c>
      <c r="H75" s="4">
        <v>46.3</v>
      </c>
    </row>
    <row r="76" spans="1:8" x14ac:dyDescent="0.25">
      <c r="A76" s="2" t="s">
        <v>16</v>
      </c>
      <c r="B76" s="4">
        <v>20</v>
      </c>
      <c r="C76" s="4">
        <v>41</v>
      </c>
      <c r="D76" s="4">
        <v>41.56</v>
      </c>
      <c r="E76" s="4" t="s">
        <v>215</v>
      </c>
      <c r="F76" s="4">
        <v>19</v>
      </c>
      <c r="G76" s="4">
        <v>19</v>
      </c>
      <c r="H76" s="4">
        <v>58</v>
      </c>
    </row>
    <row r="77" spans="1:8" x14ac:dyDescent="0.25">
      <c r="A77" s="2" t="s">
        <v>17</v>
      </c>
      <c r="B77" s="4">
        <v>20</v>
      </c>
      <c r="C77" s="4">
        <v>44</v>
      </c>
      <c r="D77" s="4">
        <v>46.55</v>
      </c>
      <c r="E77" s="4" t="s">
        <v>215</v>
      </c>
      <c r="F77" s="4">
        <v>19</v>
      </c>
      <c r="G77" s="4">
        <v>8</v>
      </c>
      <c r="H77" s="4">
        <v>58.2</v>
      </c>
    </row>
    <row r="78" spans="1:8" x14ac:dyDescent="0.25">
      <c r="A78" s="2" t="s">
        <v>18</v>
      </c>
      <c r="B78" s="4">
        <v>20</v>
      </c>
      <c r="C78" s="4">
        <v>47</v>
      </c>
      <c r="D78" s="4">
        <v>51.23</v>
      </c>
      <c r="E78" s="4" t="s">
        <v>215</v>
      </c>
      <c r="F78" s="4">
        <v>18</v>
      </c>
      <c r="G78" s="4">
        <v>57</v>
      </c>
      <c r="H78" s="4">
        <v>47.1</v>
      </c>
    </row>
    <row r="79" spans="1:8" x14ac:dyDescent="0.25">
      <c r="A79" s="2" t="s">
        <v>19</v>
      </c>
      <c r="B79" s="4">
        <v>20</v>
      </c>
      <c r="C79" s="4">
        <v>50</v>
      </c>
      <c r="D79" s="4">
        <v>55.59</v>
      </c>
      <c r="E79" s="4" t="s">
        <v>215</v>
      </c>
      <c r="F79" s="4">
        <v>18</v>
      </c>
      <c r="G79" s="4">
        <v>46</v>
      </c>
      <c r="H79" s="4">
        <v>24.8</v>
      </c>
    </row>
    <row r="80" spans="1:8" x14ac:dyDescent="0.25">
      <c r="A80" s="2" t="s">
        <v>20</v>
      </c>
      <c r="B80" s="4">
        <v>20</v>
      </c>
      <c r="C80" s="4">
        <v>53</v>
      </c>
      <c r="D80" s="4">
        <v>59.62</v>
      </c>
      <c r="E80" s="4" t="s">
        <v>215</v>
      </c>
      <c r="F80" s="4">
        <v>18</v>
      </c>
      <c r="G80" s="4">
        <v>34</v>
      </c>
      <c r="H80" s="4">
        <v>51.4</v>
      </c>
    </row>
    <row r="81" spans="1:8" x14ac:dyDescent="0.25">
      <c r="A81" s="2" t="s">
        <v>21</v>
      </c>
      <c r="B81" s="4">
        <v>20</v>
      </c>
      <c r="C81" s="4">
        <v>57</v>
      </c>
      <c r="D81" s="4">
        <v>3.33</v>
      </c>
      <c r="E81" s="4" t="s">
        <v>215</v>
      </c>
      <c r="F81" s="4">
        <v>18</v>
      </c>
      <c r="G81" s="4">
        <v>23</v>
      </c>
      <c r="H81" s="4">
        <v>7.1</v>
      </c>
    </row>
    <row r="82" spans="1:8" x14ac:dyDescent="0.25">
      <c r="A82" s="2" t="s">
        <v>22</v>
      </c>
      <c r="B82" s="4">
        <v>21</v>
      </c>
      <c r="C82" s="4">
        <v>0</v>
      </c>
      <c r="D82" s="4">
        <v>6.71</v>
      </c>
      <c r="E82" s="4" t="s">
        <v>215</v>
      </c>
      <c r="F82" s="4">
        <v>18</v>
      </c>
      <c r="G82" s="4">
        <v>11</v>
      </c>
      <c r="H82" s="4">
        <v>12</v>
      </c>
    </row>
    <row r="83" spans="1:8" x14ac:dyDescent="0.25">
      <c r="A83" s="2" t="s">
        <v>23</v>
      </c>
      <c r="B83" s="4">
        <v>21</v>
      </c>
      <c r="C83" s="4">
        <v>3</v>
      </c>
      <c r="D83" s="4">
        <v>9.76</v>
      </c>
      <c r="E83" s="4" t="s">
        <v>215</v>
      </c>
      <c r="F83" s="4">
        <v>17</v>
      </c>
      <c r="G83" s="4">
        <v>59</v>
      </c>
      <c r="H83" s="4">
        <v>6.2</v>
      </c>
    </row>
    <row r="84" spans="1:8" x14ac:dyDescent="0.25">
      <c r="A84" s="2" t="s">
        <v>24</v>
      </c>
      <c r="B84" s="4">
        <v>21</v>
      </c>
      <c r="C84" s="4">
        <v>6</v>
      </c>
      <c r="D84" s="4">
        <v>12.48</v>
      </c>
      <c r="E84" s="4" t="s">
        <v>215</v>
      </c>
      <c r="F84" s="4">
        <v>17</v>
      </c>
      <c r="G84" s="4">
        <v>46</v>
      </c>
      <c r="H84" s="4">
        <v>50</v>
      </c>
    </row>
    <row r="85" spans="1:8" x14ac:dyDescent="0.25">
      <c r="A85" s="2" t="s">
        <v>25</v>
      </c>
      <c r="B85" s="4">
        <v>21</v>
      </c>
      <c r="C85" s="4">
        <v>9</v>
      </c>
      <c r="D85" s="4">
        <v>14.86</v>
      </c>
      <c r="E85" s="4" t="s">
        <v>215</v>
      </c>
      <c r="F85" s="4">
        <v>17</v>
      </c>
      <c r="G85" s="4">
        <v>34</v>
      </c>
      <c r="H85" s="4">
        <v>23.4</v>
      </c>
    </row>
    <row r="86" spans="1:8" x14ac:dyDescent="0.25">
      <c r="A86" s="2" t="s">
        <v>26</v>
      </c>
      <c r="B86" s="4">
        <v>21</v>
      </c>
      <c r="C86" s="4">
        <v>12</v>
      </c>
      <c r="D86" s="4">
        <v>16.89</v>
      </c>
      <c r="E86" s="4" t="s">
        <v>215</v>
      </c>
      <c r="F86" s="4">
        <v>17</v>
      </c>
      <c r="G86" s="4">
        <v>21</v>
      </c>
      <c r="H86" s="4">
        <v>46.6</v>
      </c>
    </row>
    <row r="87" spans="1:8" x14ac:dyDescent="0.25">
      <c r="A87" s="2" t="s">
        <v>27</v>
      </c>
      <c r="B87" s="4">
        <v>21</v>
      </c>
      <c r="C87" s="4">
        <v>15</v>
      </c>
      <c r="D87" s="4">
        <v>18.579999999999998</v>
      </c>
      <c r="E87" s="4" t="s">
        <v>215</v>
      </c>
      <c r="F87" s="4">
        <v>17</v>
      </c>
      <c r="G87" s="4">
        <v>8</v>
      </c>
      <c r="H87" s="4">
        <v>59.8</v>
      </c>
    </row>
    <row r="88" spans="1:8" x14ac:dyDescent="0.25">
      <c r="A88" s="2" t="s">
        <v>28</v>
      </c>
      <c r="B88" s="4">
        <v>21</v>
      </c>
      <c r="C88" s="4">
        <v>18</v>
      </c>
      <c r="D88" s="4">
        <v>19.91</v>
      </c>
      <c r="E88" s="4" t="s">
        <v>215</v>
      </c>
      <c r="F88" s="4">
        <v>16</v>
      </c>
      <c r="G88" s="4">
        <v>56</v>
      </c>
      <c r="H88" s="4">
        <v>3.1</v>
      </c>
    </row>
    <row r="89" spans="1:8" x14ac:dyDescent="0.25">
      <c r="A89" s="2" t="s">
        <v>29</v>
      </c>
      <c r="B89" s="4">
        <v>21</v>
      </c>
      <c r="C89" s="4">
        <v>21</v>
      </c>
      <c r="D89" s="4">
        <v>20.89</v>
      </c>
      <c r="E89" s="4" t="s">
        <v>215</v>
      </c>
      <c r="F89" s="4">
        <v>16</v>
      </c>
      <c r="G89" s="4">
        <v>42</v>
      </c>
      <c r="H89" s="4">
        <v>56.8</v>
      </c>
    </row>
    <row r="90" spans="1:8" x14ac:dyDescent="0.25">
      <c r="A90" s="2" t="s">
        <v>30</v>
      </c>
      <c r="B90" s="4">
        <v>21</v>
      </c>
      <c r="C90" s="4">
        <v>24</v>
      </c>
      <c r="D90" s="4">
        <v>21.51</v>
      </c>
      <c r="E90" s="4" t="s">
        <v>215</v>
      </c>
      <c r="F90" s="4">
        <v>16</v>
      </c>
      <c r="G90" s="4">
        <v>29</v>
      </c>
      <c r="H90" s="4">
        <v>40.9</v>
      </c>
    </row>
    <row r="91" spans="1:8" x14ac:dyDescent="0.25">
      <c r="A91" s="2" t="s">
        <v>31</v>
      </c>
      <c r="B91" s="4">
        <v>21</v>
      </c>
      <c r="C91" s="4">
        <v>27</v>
      </c>
      <c r="D91" s="4">
        <v>21.77</v>
      </c>
      <c r="E91" s="4" t="s">
        <v>215</v>
      </c>
      <c r="F91" s="4">
        <v>16</v>
      </c>
      <c r="G91" s="4">
        <v>16</v>
      </c>
      <c r="H91" s="4">
        <v>15.8</v>
      </c>
    </row>
    <row r="92" spans="1:8" x14ac:dyDescent="0.25">
      <c r="A92" s="2" t="s">
        <v>32</v>
      </c>
      <c r="B92" s="4">
        <v>21</v>
      </c>
      <c r="C92" s="4">
        <v>30</v>
      </c>
      <c r="D92" s="4">
        <v>21.66</v>
      </c>
      <c r="E92" s="4" t="s">
        <v>215</v>
      </c>
      <c r="F92" s="4">
        <v>16</v>
      </c>
      <c r="G92" s="4">
        <v>2</v>
      </c>
      <c r="H92" s="4">
        <v>41.5</v>
      </c>
    </row>
    <row r="93" spans="1:8" x14ac:dyDescent="0.25">
      <c r="A93" s="2" t="s">
        <v>33</v>
      </c>
      <c r="B93" s="4">
        <v>21</v>
      </c>
      <c r="C93" s="4">
        <v>33</v>
      </c>
      <c r="D93" s="4">
        <v>21.19</v>
      </c>
      <c r="E93" s="4" t="s">
        <v>215</v>
      </c>
      <c r="F93" s="4">
        <v>15</v>
      </c>
      <c r="G93" s="4">
        <v>48</v>
      </c>
      <c r="H93" s="4">
        <v>58.2</v>
      </c>
    </row>
    <row r="94" spans="1:8" x14ac:dyDescent="0.25">
      <c r="A94" s="2" t="s">
        <v>34</v>
      </c>
      <c r="B94" s="4">
        <v>21</v>
      </c>
      <c r="C94" s="4">
        <v>36</v>
      </c>
      <c r="D94" s="4">
        <v>20.36</v>
      </c>
      <c r="E94" s="4" t="s">
        <v>215</v>
      </c>
      <c r="F94" s="4">
        <v>15</v>
      </c>
      <c r="G94" s="4">
        <v>35</v>
      </c>
      <c r="H94" s="4">
        <v>6</v>
      </c>
    </row>
    <row r="95" spans="1:8" x14ac:dyDescent="0.25">
      <c r="A95" s="2" t="s">
        <v>35</v>
      </c>
      <c r="B95" s="4">
        <v>21</v>
      </c>
      <c r="C95" s="4">
        <v>39</v>
      </c>
      <c r="D95" s="4">
        <v>19.149999999999999</v>
      </c>
      <c r="E95" s="4" t="s">
        <v>215</v>
      </c>
      <c r="F95" s="4">
        <v>15</v>
      </c>
      <c r="G95" s="4">
        <v>21</v>
      </c>
      <c r="H95" s="4">
        <v>5.3</v>
      </c>
    </row>
    <row r="96" spans="1:8" x14ac:dyDescent="0.25">
      <c r="A96" s="2" t="s">
        <v>36</v>
      </c>
      <c r="B96" s="4">
        <v>21</v>
      </c>
      <c r="C96" s="4">
        <v>42</v>
      </c>
      <c r="D96" s="4">
        <v>17.59</v>
      </c>
      <c r="E96" s="4" t="s">
        <v>215</v>
      </c>
      <c r="F96" s="4">
        <v>15</v>
      </c>
      <c r="G96" s="4">
        <v>6</v>
      </c>
      <c r="H96" s="4">
        <v>56.1</v>
      </c>
    </row>
    <row r="97" spans="1:8" x14ac:dyDescent="0.25">
      <c r="A97" s="2" t="s">
        <v>37</v>
      </c>
      <c r="B97" s="4">
        <v>21</v>
      </c>
      <c r="C97" s="4">
        <v>45</v>
      </c>
      <c r="D97" s="4">
        <v>15.66</v>
      </c>
      <c r="E97" s="4" t="s">
        <v>215</v>
      </c>
      <c r="F97" s="4">
        <v>14</v>
      </c>
      <c r="G97" s="4">
        <v>52</v>
      </c>
      <c r="H97" s="4">
        <v>38.6</v>
      </c>
    </row>
    <row r="98" spans="1:8" x14ac:dyDescent="0.25">
      <c r="A98" s="2" t="s">
        <v>38</v>
      </c>
      <c r="B98" s="4">
        <v>21</v>
      </c>
      <c r="C98" s="4">
        <v>48</v>
      </c>
      <c r="D98" s="4">
        <v>13.36</v>
      </c>
      <c r="E98" s="4" t="s">
        <v>215</v>
      </c>
      <c r="F98" s="4">
        <v>14</v>
      </c>
      <c r="G98" s="4">
        <v>38</v>
      </c>
      <c r="H98" s="4">
        <v>13</v>
      </c>
    </row>
    <row r="99" spans="1:8" x14ac:dyDescent="0.25">
      <c r="A99" s="2" t="s">
        <v>39</v>
      </c>
      <c r="B99" s="4">
        <v>21</v>
      </c>
      <c r="C99" s="4">
        <v>51</v>
      </c>
      <c r="D99" s="4">
        <v>10.71</v>
      </c>
      <c r="E99" s="4" t="s">
        <v>215</v>
      </c>
      <c r="F99" s="4">
        <v>14</v>
      </c>
      <c r="G99" s="4">
        <v>23</v>
      </c>
      <c r="H99" s="4">
        <v>39.5</v>
      </c>
    </row>
    <row r="100" spans="1:8" x14ac:dyDescent="0.25">
      <c r="A100" s="2" t="s">
        <v>40</v>
      </c>
      <c r="B100" s="4">
        <v>21</v>
      </c>
      <c r="C100" s="4">
        <v>54</v>
      </c>
      <c r="D100" s="4">
        <v>7.7</v>
      </c>
      <c r="E100" s="4" t="s">
        <v>215</v>
      </c>
      <c r="F100" s="4">
        <v>14</v>
      </c>
      <c r="G100" s="4">
        <v>8</v>
      </c>
      <c r="H100" s="4">
        <v>58.1</v>
      </c>
    </row>
    <row r="101" spans="1:8" x14ac:dyDescent="0.25">
      <c r="A101" s="2" t="s">
        <v>41</v>
      </c>
      <c r="B101" s="4">
        <v>21</v>
      </c>
      <c r="C101" s="4">
        <v>57</v>
      </c>
      <c r="D101" s="4">
        <v>4.34</v>
      </c>
      <c r="E101" s="4" t="s">
        <v>215</v>
      </c>
      <c r="F101" s="4">
        <v>13</v>
      </c>
      <c r="G101" s="4">
        <v>54</v>
      </c>
      <c r="H101" s="4">
        <v>9.1999999999999993</v>
      </c>
    </row>
    <row r="102" spans="1:8" x14ac:dyDescent="0.25">
      <c r="A102" s="2" t="s">
        <v>42</v>
      </c>
      <c r="B102" s="4">
        <v>22</v>
      </c>
      <c r="C102" s="4">
        <v>0</v>
      </c>
      <c r="D102" s="4">
        <v>0.62</v>
      </c>
      <c r="E102" s="4" t="s">
        <v>215</v>
      </c>
      <c r="F102" s="4">
        <v>13</v>
      </c>
      <c r="G102" s="4">
        <v>39</v>
      </c>
      <c r="H102" s="4">
        <v>12.8</v>
      </c>
    </row>
    <row r="103" spans="1:8" x14ac:dyDescent="0.25">
      <c r="A103" s="2" t="s">
        <v>43</v>
      </c>
      <c r="B103" s="4">
        <v>22</v>
      </c>
      <c r="C103" s="4">
        <v>2</v>
      </c>
      <c r="D103" s="4">
        <v>56.57</v>
      </c>
      <c r="E103" s="4" t="s">
        <v>215</v>
      </c>
      <c r="F103" s="4">
        <v>13</v>
      </c>
      <c r="G103" s="4">
        <v>24</v>
      </c>
      <c r="H103" s="4">
        <v>9.1999999999999993</v>
      </c>
    </row>
    <row r="104" spans="1:8" x14ac:dyDescent="0.25">
      <c r="A104" s="2" t="s">
        <v>44</v>
      </c>
      <c r="B104" s="4">
        <v>22</v>
      </c>
      <c r="C104" s="4">
        <v>5</v>
      </c>
      <c r="D104" s="4">
        <v>52.16</v>
      </c>
      <c r="E104" s="4" t="s">
        <v>215</v>
      </c>
      <c r="F104" s="4">
        <v>13</v>
      </c>
      <c r="G104" s="4">
        <v>8</v>
      </c>
      <c r="H104" s="4">
        <v>58.4</v>
      </c>
    </row>
    <row r="105" spans="1:8" x14ac:dyDescent="0.25">
      <c r="A105" s="2" t="s">
        <v>45</v>
      </c>
      <c r="B105" s="4">
        <v>22</v>
      </c>
      <c r="C105" s="4">
        <v>8</v>
      </c>
      <c r="D105" s="4">
        <v>47.42</v>
      </c>
      <c r="E105" s="4" t="s">
        <v>215</v>
      </c>
      <c r="F105" s="4">
        <v>12</v>
      </c>
      <c r="G105" s="4">
        <v>53</v>
      </c>
      <c r="H105" s="4">
        <v>40.6</v>
      </c>
    </row>
    <row r="106" spans="1:8" x14ac:dyDescent="0.25">
      <c r="A106" s="2" t="s">
        <v>46</v>
      </c>
      <c r="B106" s="4">
        <v>22</v>
      </c>
      <c r="C106" s="4">
        <v>11</v>
      </c>
      <c r="D106" s="4">
        <v>42.35</v>
      </c>
      <c r="E106" s="4" t="s">
        <v>215</v>
      </c>
      <c r="F106" s="4">
        <v>12</v>
      </c>
      <c r="G106" s="4">
        <v>38</v>
      </c>
      <c r="H106" s="4">
        <v>16.100000000000001</v>
      </c>
    </row>
    <row r="107" spans="1:8" x14ac:dyDescent="0.25">
      <c r="A107" s="2" t="s">
        <v>47</v>
      </c>
      <c r="B107" s="4">
        <v>22</v>
      </c>
      <c r="C107" s="4">
        <v>14</v>
      </c>
      <c r="D107" s="4">
        <v>36.950000000000003</v>
      </c>
      <c r="E107" s="4" t="s">
        <v>215</v>
      </c>
      <c r="F107" s="4">
        <v>12</v>
      </c>
      <c r="G107" s="4">
        <v>22</v>
      </c>
      <c r="H107" s="4">
        <v>45</v>
      </c>
    </row>
    <row r="108" spans="1:8" x14ac:dyDescent="0.25">
      <c r="A108" s="2" t="s">
        <v>48</v>
      </c>
      <c r="B108" s="4">
        <v>22</v>
      </c>
      <c r="C108" s="4">
        <v>17</v>
      </c>
      <c r="D108" s="4">
        <v>31.23</v>
      </c>
      <c r="E108" s="4" t="s">
        <v>215</v>
      </c>
      <c r="F108" s="4">
        <v>12</v>
      </c>
      <c r="G108" s="4">
        <v>7</v>
      </c>
      <c r="H108" s="4">
        <v>7.4</v>
      </c>
    </row>
    <row r="109" spans="1:8" x14ac:dyDescent="0.25">
      <c r="A109" s="2" t="s">
        <v>49</v>
      </c>
      <c r="B109" s="4">
        <v>22</v>
      </c>
      <c r="C109" s="4">
        <v>20</v>
      </c>
      <c r="D109" s="4">
        <v>25.19</v>
      </c>
      <c r="E109" s="4" t="s">
        <v>215</v>
      </c>
      <c r="F109" s="4">
        <v>11</v>
      </c>
      <c r="G109" s="4">
        <v>51</v>
      </c>
      <c r="H109" s="4">
        <v>23.5</v>
      </c>
    </row>
    <row r="110" spans="1:8" x14ac:dyDescent="0.25">
      <c r="A110" s="2" t="s">
        <v>50</v>
      </c>
      <c r="B110" s="4">
        <v>22</v>
      </c>
      <c r="C110" s="4">
        <v>23</v>
      </c>
      <c r="D110" s="4">
        <v>18.84</v>
      </c>
      <c r="E110" s="4" t="s">
        <v>215</v>
      </c>
      <c r="F110" s="4">
        <v>11</v>
      </c>
      <c r="G110" s="4">
        <v>35</v>
      </c>
      <c r="H110" s="4">
        <v>33.4</v>
      </c>
    </row>
    <row r="111" spans="1:8" x14ac:dyDescent="0.25">
      <c r="A111" s="2" t="s">
        <v>51</v>
      </c>
      <c r="B111" s="4">
        <v>22</v>
      </c>
      <c r="C111" s="4">
        <v>26</v>
      </c>
      <c r="D111" s="4">
        <v>12.17</v>
      </c>
      <c r="E111" s="4" t="s">
        <v>215</v>
      </c>
      <c r="F111" s="4">
        <v>11</v>
      </c>
      <c r="G111" s="4">
        <v>19</v>
      </c>
      <c r="H111" s="4">
        <v>37.4</v>
      </c>
    </row>
    <row r="112" spans="1:8" x14ac:dyDescent="0.25">
      <c r="A112" s="2" t="s">
        <v>52</v>
      </c>
      <c r="B112" s="4">
        <v>22</v>
      </c>
      <c r="C112" s="4">
        <v>29</v>
      </c>
      <c r="D112" s="4">
        <v>5.19</v>
      </c>
      <c r="E112" s="4" t="s">
        <v>215</v>
      </c>
      <c r="F112" s="4">
        <v>11</v>
      </c>
      <c r="G112" s="4">
        <v>3</v>
      </c>
      <c r="H112" s="4">
        <v>35.6</v>
      </c>
    </row>
    <row r="113" spans="1:8" x14ac:dyDescent="0.25">
      <c r="A113" s="2" t="s">
        <v>53</v>
      </c>
      <c r="B113" s="4">
        <v>22</v>
      </c>
      <c r="C113" s="4">
        <v>31</v>
      </c>
      <c r="D113" s="4">
        <v>57.91</v>
      </c>
      <c r="E113" s="4" t="s">
        <v>215</v>
      </c>
      <c r="F113" s="4">
        <v>10</v>
      </c>
      <c r="G113" s="4">
        <v>47</v>
      </c>
      <c r="H113" s="4">
        <v>28.3</v>
      </c>
    </row>
    <row r="114" spans="1:8" x14ac:dyDescent="0.25">
      <c r="A114" s="2" t="s">
        <v>54</v>
      </c>
      <c r="B114" s="4">
        <v>22</v>
      </c>
      <c r="C114" s="4">
        <v>34</v>
      </c>
      <c r="D114" s="4">
        <v>50.32</v>
      </c>
      <c r="E114" s="4" t="s">
        <v>215</v>
      </c>
      <c r="F114" s="4">
        <v>10</v>
      </c>
      <c r="G114" s="4">
        <v>31</v>
      </c>
      <c r="H114" s="4">
        <v>15.5</v>
      </c>
    </row>
    <row r="115" spans="1:8" x14ac:dyDescent="0.25">
      <c r="A115" s="2" t="s">
        <v>55</v>
      </c>
      <c r="B115" s="4">
        <v>22</v>
      </c>
      <c r="C115" s="4">
        <v>37</v>
      </c>
      <c r="D115" s="4">
        <v>42.42</v>
      </c>
      <c r="E115" s="4" t="s">
        <v>215</v>
      </c>
      <c r="F115" s="4">
        <v>10</v>
      </c>
      <c r="G115" s="4">
        <v>14</v>
      </c>
      <c r="H115" s="4">
        <v>57.6</v>
      </c>
    </row>
    <row r="116" spans="1:8" x14ac:dyDescent="0.25">
      <c r="A116" s="2" t="s">
        <v>56</v>
      </c>
      <c r="B116" s="4">
        <v>22</v>
      </c>
      <c r="C116" s="4">
        <v>40</v>
      </c>
      <c r="D116" s="4">
        <v>34.229999999999997</v>
      </c>
      <c r="E116" s="4" t="s">
        <v>215</v>
      </c>
      <c r="F116" s="4">
        <v>9</v>
      </c>
      <c r="G116" s="4">
        <v>58</v>
      </c>
      <c r="H116" s="4">
        <v>34.6</v>
      </c>
    </row>
    <row r="117" spans="1:8" x14ac:dyDescent="0.25">
      <c r="A117" s="2" t="s">
        <v>57</v>
      </c>
      <c r="B117" s="4">
        <v>22</v>
      </c>
      <c r="C117" s="4">
        <v>43</v>
      </c>
      <c r="D117" s="4">
        <v>25.73</v>
      </c>
      <c r="E117" s="4" t="s">
        <v>215</v>
      </c>
      <c r="F117" s="4">
        <v>9</v>
      </c>
      <c r="G117" s="4">
        <v>42</v>
      </c>
      <c r="H117" s="4">
        <v>6.8</v>
      </c>
    </row>
    <row r="118" spans="1:8" x14ac:dyDescent="0.25">
      <c r="A118" s="2" t="s">
        <v>58</v>
      </c>
      <c r="B118" s="4">
        <v>22</v>
      </c>
      <c r="C118" s="4">
        <v>46</v>
      </c>
      <c r="D118" s="4">
        <v>16.920000000000002</v>
      </c>
      <c r="E118" s="4" t="s">
        <v>215</v>
      </c>
      <c r="F118" s="4">
        <v>9</v>
      </c>
      <c r="G118" s="4">
        <v>25</v>
      </c>
      <c r="H118" s="4">
        <v>34.4</v>
      </c>
    </row>
    <row r="119" spans="1:8" x14ac:dyDescent="0.25">
      <c r="A119" s="2" t="s">
        <v>59</v>
      </c>
      <c r="B119" s="4">
        <v>22</v>
      </c>
      <c r="C119" s="4">
        <v>49</v>
      </c>
      <c r="D119" s="4">
        <v>7.82</v>
      </c>
      <c r="E119" s="4" t="s">
        <v>215</v>
      </c>
      <c r="F119" s="4">
        <v>9</v>
      </c>
      <c r="G119" s="4">
        <v>8</v>
      </c>
      <c r="H119" s="4">
        <v>57.6</v>
      </c>
    </row>
    <row r="120" spans="1:8" x14ac:dyDescent="0.25">
      <c r="A120" s="2" t="s">
        <v>60</v>
      </c>
      <c r="B120" s="4">
        <v>22</v>
      </c>
      <c r="C120" s="4">
        <v>51</v>
      </c>
      <c r="D120" s="4">
        <v>58.43</v>
      </c>
      <c r="E120" s="4" t="s">
        <v>215</v>
      </c>
      <c r="F120" s="4">
        <v>8</v>
      </c>
      <c r="G120" s="4">
        <v>52</v>
      </c>
      <c r="H120" s="4">
        <v>16.600000000000001</v>
      </c>
    </row>
    <row r="121" spans="1:8" x14ac:dyDescent="0.25">
      <c r="A121" s="2" t="s">
        <v>61</v>
      </c>
      <c r="B121" s="4">
        <v>22</v>
      </c>
      <c r="C121" s="4">
        <v>54</v>
      </c>
      <c r="D121" s="4">
        <v>48.74</v>
      </c>
      <c r="E121" s="4" t="s">
        <v>215</v>
      </c>
      <c r="F121" s="4">
        <v>8</v>
      </c>
      <c r="G121" s="4">
        <v>35</v>
      </c>
      <c r="H121" s="4">
        <v>31.6</v>
      </c>
    </row>
    <row r="122" spans="1:8" x14ac:dyDescent="0.25">
      <c r="A122" s="2" t="s">
        <v>62</v>
      </c>
      <c r="B122" s="4">
        <v>22</v>
      </c>
      <c r="C122" s="4">
        <v>57</v>
      </c>
      <c r="D122" s="4">
        <v>38.76</v>
      </c>
      <c r="E122" s="4" t="s">
        <v>215</v>
      </c>
      <c r="F122" s="4">
        <v>8</v>
      </c>
      <c r="G122" s="4">
        <v>18</v>
      </c>
      <c r="H122" s="4">
        <v>42.8</v>
      </c>
    </row>
    <row r="123" spans="1:8" x14ac:dyDescent="0.25">
      <c r="A123" s="2" t="s">
        <v>63</v>
      </c>
      <c r="B123" s="4">
        <v>23</v>
      </c>
      <c r="C123" s="4">
        <v>0</v>
      </c>
      <c r="D123" s="4">
        <v>28.49</v>
      </c>
      <c r="E123" s="4" t="s">
        <v>215</v>
      </c>
      <c r="F123" s="4">
        <v>8</v>
      </c>
      <c r="G123" s="4">
        <v>1</v>
      </c>
      <c r="H123" s="4">
        <v>50.3</v>
      </c>
    </row>
    <row r="124" spans="1:8" x14ac:dyDescent="0.25">
      <c r="A124" s="2" t="s">
        <v>64</v>
      </c>
      <c r="B124" s="4">
        <v>23</v>
      </c>
      <c r="C124" s="4">
        <v>3</v>
      </c>
      <c r="D124" s="4">
        <v>17.940000000000001</v>
      </c>
      <c r="E124" s="4" t="s">
        <v>215</v>
      </c>
      <c r="F124" s="4">
        <v>7</v>
      </c>
      <c r="G124" s="4">
        <v>44</v>
      </c>
      <c r="H124" s="4">
        <v>54.4</v>
      </c>
    </row>
    <row r="125" spans="1:8" x14ac:dyDescent="0.25">
      <c r="A125" s="2" t="s">
        <v>65</v>
      </c>
      <c r="B125" s="4">
        <v>23</v>
      </c>
      <c r="C125" s="4">
        <v>6</v>
      </c>
      <c r="D125" s="4">
        <v>7.11</v>
      </c>
      <c r="E125" s="4" t="s">
        <v>215</v>
      </c>
      <c r="F125" s="4">
        <v>7</v>
      </c>
      <c r="G125" s="4">
        <v>27</v>
      </c>
      <c r="H125" s="4">
        <v>55.2</v>
      </c>
    </row>
    <row r="126" spans="1:8" x14ac:dyDescent="0.25">
      <c r="A126" s="2" t="s">
        <v>66</v>
      </c>
      <c r="B126" s="4">
        <v>23</v>
      </c>
      <c r="C126" s="4">
        <v>8</v>
      </c>
      <c r="D126" s="4">
        <v>56</v>
      </c>
      <c r="E126" s="4" t="s">
        <v>215</v>
      </c>
      <c r="F126" s="4">
        <v>7</v>
      </c>
      <c r="G126" s="4">
        <v>10</v>
      </c>
      <c r="H126" s="4">
        <v>52.9</v>
      </c>
    </row>
    <row r="127" spans="1:8" x14ac:dyDescent="0.25">
      <c r="A127" s="2" t="s">
        <v>67</v>
      </c>
      <c r="B127" s="4">
        <v>23</v>
      </c>
      <c r="C127" s="4">
        <v>11</v>
      </c>
      <c r="D127" s="4">
        <v>44.63</v>
      </c>
      <c r="E127" s="4" t="s">
        <v>215</v>
      </c>
      <c r="F127" s="4">
        <v>6</v>
      </c>
      <c r="G127" s="4">
        <v>53</v>
      </c>
      <c r="H127" s="4">
        <v>47.8</v>
      </c>
    </row>
    <row r="128" spans="1:8" x14ac:dyDescent="0.25">
      <c r="A128" s="2" t="s">
        <v>68</v>
      </c>
      <c r="B128" s="4">
        <v>23</v>
      </c>
      <c r="C128" s="4">
        <v>14</v>
      </c>
      <c r="D128" s="4">
        <v>33</v>
      </c>
      <c r="E128" s="4" t="s">
        <v>215</v>
      </c>
      <c r="F128" s="4">
        <v>6</v>
      </c>
      <c r="G128" s="4">
        <v>36</v>
      </c>
      <c r="H128" s="4">
        <v>39.9</v>
      </c>
    </row>
    <row r="129" spans="1:8" x14ac:dyDescent="0.25">
      <c r="A129" s="2" t="s">
        <v>69</v>
      </c>
      <c r="B129" s="4">
        <v>23</v>
      </c>
      <c r="C129" s="4">
        <v>17</v>
      </c>
      <c r="D129" s="4">
        <v>21.11</v>
      </c>
      <c r="E129" s="4" t="s">
        <v>215</v>
      </c>
      <c r="F129" s="4">
        <v>6</v>
      </c>
      <c r="G129" s="4">
        <v>19</v>
      </c>
      <c r="H129" s="4">
        <v>29.5</v>
      </c>
    </row>
    <row r="130" spans="1:8" x14ac:dyDescent="0.25">
      <c r="A130" s="2" t="s">
        <v>70</v>
      </c>
      <c r="B130" s="4">
        <v>23</v>
      </c>
      <c r="C130" s="4">
        <v>20</v>
      </c>
      <c r="D130" s="4">
        <v>8.9700000000000006</v>
      </c>
      <c r="E130" s="4" t="s">
        <v>215</v>
      </c>
      <c r="F130" s="4">
        <v>6</v>
      </c>
      <c r="G130" s="4">
        <v>2</v>
      </c>
      <c r="H130" s="4">
        <v>16.8</v>
      </c>
    </row>
    <row r="131" spans="1:8" x14ac:dyDescent="0.25">
      <c r="A131" s="2" t="s">
        <v>71</v>
      </c>
      <c r="B131" s="4">
        <v>23</v>
      </c>
      <c r="C131" s="4">
        <v>22</v>
      </c>
      <c r="D131" s="4">
        <v>56.58</v>
      </c>
      <c r="E131" s="4" t="s">
        <v>215</v>
      </c>
      <c r="F131" s="4">
        <v>5</v>
      </c>
      <c r="G131" s="4">
        <v>45</v>
      </c>
      <c r="H131" s="4">
        <v>1.8</v>
      </c>
    </row>
    <row r="132" spans="1:8" x14ac:dyDescent="0.25">
      <c r="A132" s="2" t="s">
        <v>72</v>
      </c>
      <c r="B132" s="4">
        <v>23</v>
      </c>
      <c r="C132" s="4">
        <v>25</v>
      </c>
      <c r="D132" s="4">
        <v>43.96</v>
      </c>
      <c r="E132" s="4" t="s">
        <v>215</v>
      </c>
      <c r="F132" s="4">
        <v>5</v>
      </c>
      <c r="G132" s="4">
        <v>27</v>
      </c>
      <c r="H132" s="4">
        <v>44.8</v>
      </c>
    </row>
    <row r="133" spans="1:8" x14ac:dyDescent="0.25">
      <c r="A133" s="2" t="s">
        <v>73</v>
      </c>
      <c r="B133" s="4">
        <v>23</v>
      </c>
      <c r="C133" s="4">
        <v>28</v>
      </c>
      <c r="D133" s="4">
        <v>31.1</v>
      </c>
      <c r="E133" s="4" t="s">
        <v>215</v>
      </c>
      <c r="F133" s="4">
        <v>5</v>
      </c>
      <c r="G133" s="4">
        <v>10</v>
      </c>
      <c r="H133" s="4">
        <v>26</v>
      </c>
    </row>
    <row r="134" spans="1:8" x14ac:dyDescent="0.25">
      <c r="A134" s="2" t="s">
        <v>74</v>
      </c>
      <c r="B134" s="4">
        <v>23</v>
      </c>
      <c r="C134" s="4">
        <v>31</v>
      </c>
      <c r="D134" s="4">
        <v>18.03</v>
      </c>
      <c r="E134" s="4" t="s">
        <v>215</v>
      </c>
      <c r="F134" s="4">
        <v>4</v>
      </c>
      <c r="G134" s="4">
        <v>53</v>
      </c>
      <c r="H134" s="4">
        <v>5.4</v>
      </c>
    </row>
    <row r="135" spans="1:8" x14ac:dyDescent="0.25">
      <c r="A135" s="2" t="s">
        <v>75</v>
      </c>
      <c r="B135" s="4">
        <v>23</v>
      </c>
      <c r="C135" s="4">
        <v>34</v>
      </c>
      <c r="D135" s="4">
        <v>4.74</v>
      </c>
      <c r="E135" s="4" t="s">
        <v>215</v>
      </c>
      <c r="F135" s="4">
        <v>4</v>
      </c>
      <c r="G135" s="4">
        <v>35</v>
      </c>
      <c r="H135" s="4">
        <v>43.3</v>
      </c>
    </row>
    <row r="136" spans="1:8" x14ac:dyDescent="0.25">
      <c r="A136" s="2" t="s">
        <v>76</v>
      </c>
      <c r="B136" s="4">
        <v>23</v>
      </c>
      <c r="C136" s="4">
        <v>36</v>
      </c>
      <c r="D136" s="4">
        <v>51.24</v>
      </c>
      <c r="E136" s="4" t="s">
        <v>215</v>
      </c>
      <c r="F136" s="4">
        <v>4</v>
      </c>
      <c r="G136" s="4">
        <v>18</v>
      </c>
      <c r="H136" s="4">
        <v>19.8</v>
      </c>
    </row>
    <row r="137" spans="1:8" x14ac:dyDescent="0.25">
      <c r="A137" s="2" t="s">
        <v>77</v>
      </c>
      <c r="B137" s="4">
        <v>23</v>
      </c>
      <c r="C137" s="4">
        <v>39</v>
      </c>
      <c r="D137" s="4">
        <v>37.54</v>
      </c>
      <c r="E137" s="4" t="s">
        <v>215</v>
      </c>
      <c r="F137" s="4">
        <v>4</v>
      </c>
      <c r="G137" s="4">
        <v>0</v>
      </c>
      <c r="H137" s="4">
        <v>55.1</v>
      </c>
    </row>
    <row r="138" spans="1:8" x14ac:dyDescent="0.25">
      <c r="A138" s="2" t="s">
        <v>78</v>
      </c>
      <c r="B138" s="4">
        <v>23</v>
      </c>
      <c r="C138" s="4">
        <v>42</v>
      </c>
      <c r="D138" s="4">
        <v>23.64</v>
      </c>
      <c r="E138" s="4" t="s">
        <v>215</v>
      </c>
      <c r="F138" s="4">
        <v>3</v>
      </c>
      <c r="G138" s="4">
        <v>43</v>
      </c>
      <c r="H138" s="4">
        <v>29.4</v>
      </c>
    </row>
    <row r="139" spans="1:8" x14ac:dyDescent="0.25">
      <c r="A139" s="2" t="s">
        <v>79</v>
      </c>
      <c r="B139" s="4">
        <v>23</v>
      </c>
      <c r="C139" s="4">
        <v>45</v>
      </c>
      <c r="D139" s="4">
        <v>9.5500000000000007</v>
      </c>
      <c r="E139" s="4" t="s">
        <v>215</v>
      </c>
      <c r="F139" s="4">
        <v>3</v>
      </c>
      <c r="G139" s="4">
        <v>26</v>
      </c>
      <c r="H139" s="4">
        <v>2.7</v>
      </c>
    </row>
    <row r="140" spans="1:8" x14ac:dyDescent="0.25">
      <c r="A140" s="2" t="s">
        <v>80</v>
      </c>
      <c r="B140" s="4">
        <v>23</v>
      </c>
      <c r="C140" s="4">
        <v>47</v>
      </c>
      <c r="D140" s="4">
        <v>55.28</v>
      </c>
      <c r="E140" s="4" t="s">
        <v>215</v>
      </c>
      <c r="F140" s="4">
        <v>3</v>
      </c>
      <c r="G140" s="4">
        <v>8</v>
      </c>
      <c r="H140" s="4">
        <v>35.299999999999997</v>
      </c>
    </row>
    <row r="141" spans="1:8" x14ac:dyDescent="0.25">
      <c r="A141" s="2" t="s">
        <v>81</v>
      </c>
      <c r="B141" s="4">
        <v>23</v>
      </c>
      <c r="C141" s="4">
        <v>50</v>
      </c>
      <c r="D141" s="4">
        <v>40.83</v>
      </c>
      <c r="E141" s="4" t="s">
        <v>215</v>
      </c>
      <c r="F141" s="4">
        <v>2</v>
      </c>
      <c r="G141" s="4">
        <v>51</v>
      </c>
      <c r="H141" s="4">
        <v>7.4</v>
      </c>
    </row>
    <row r="142" spans="1:8" x14ac:dyDescent="0.25">
      <c r="A142" s="2" t="s">
        <v>82</v>
      </c>
      <c r="B142" s="4">
        <v>23</v>
      </c>
      <c r="C142" s="4">
        <v>53</v>
      </c>
      <c r="D142" s="4">
        <v>26.19</v>
      </c>
      <c r="E142" s="4" t="s">
        <v>215</v>
      </c>
      <c r="F142" s="4">
        <v>2</v>
      </c>
      <c r="G142" s="4">
        <v>33</v>
      </c>
      <c r="H142" s="4">
        <v>39.200000000000003</v>
      </c>
    </row>
    <row r="143" spans="1:8" x14ac:dyDescent="0.25">
      <c r="A143" s="2" t="s">
        <v>83</v>
      </c>
      <c r="B143" s="4">
        <v>23</v>
      </c>
      <c r="C143" s="4">
        <v>56</v>
      </c>
      <c r="D143" s="4">
        <v>11.38</v>
      </c>
      <c r="E143" s="4" t="s">
        <v>215</v>
      </c>
      <c r="F143" s="4">
        <v>2</v>
      </c>
      <c r="G143" s="4">
        <v>16</v>
      </c>
      <c r="H143" s="4">
        <v>10.8</v>
      </c>
    </row>
    <row r="144" spans="1:8" x14ac:dyDescent="0.25">
      <c r="A144" s="2" t="s">
        <v>84</v>
      </c>
      <c r="B144" s="4">
        <v>23</v>
      </c>
      <c r="C144" s="4">
        <v>58</v>
      </c>
      <c r="D144" s="4">
        <v>56.39</v>
      </c>
      <c r="E144" s="4" t="s">
        <v>215</v>
      </c>
      <c r="F144" s="4">
        <v>1</v>
      </c>
      <c r="G144" s="4">
        <v>58</v>
      </c>
      <c r="H144" s="4">
        <v>42.5</v>
      </c>
    </row>
    <row r="145" spans="1:8" x14ac:dyDescent="0.25">
      <c r="A145" s="2" t="s">
        <v>85</v>
      </c>
      <c r="B145" s="4">
        <v>0</v>
      </c>
      <c r="C145" s="4">
        <v>1</v>
      </c>
      <c r="D145" s="4">
        <v>41.23</v>
      </c>
      <c r="E145" s="4" t="s">
        <v>215</v>
      </c>
      <c r="F145" s="4">
        <v>1</v>
      </c>
      <c r="G145" s="4">
        <v>41</v>
      </c>
      <c r="H145" s="4">
        <v>14.4</v>
      </c>
    </row>
    <row r="146" spans="1:8" x14ac:dyDescent="0.25">
      <c r="A146" s="2" t="s">
        <v>86</v>
      </c>
      <c r="B146" s="4">
        <v>0</v>
      </c>
      <c r="C146" s="4">
        <v>4</v>
      </c>
      <c r="D146" s="4">
        <v>25.89</v>
      </c>
      <c r="E146" s="4" t="s">
        <v>215</v>
      </c>
      <c r="F146" s="4">
        <v>1</v>
      </c>
      <c r="G146" s="4">
        <v>23</v>
      </c>
      <c r="H146" s="4">
        <v>46.8</v>
      </c>
    </row>
    <row r="147" spans="1:8" x14ac:dyDescent="0.25">
      <c r="A147" s="2" t="s">
        <v>87</v>
      </c>
      <c r="B147" s="4">
        <v>0</v>
      </c>
      <c r="C147" s="4">
        <v>7</v>
      </c>
      <c r="D147" s="4">
        <v>10.39</v>
      </c>
      <c r="E147" s="4" t="s">
        <v>215</v>
      </c>
      <c r="F147" s="4">
        <v>1</v>
      </c>
      <c r="G147" s="4">
        <v>6</v>
      </c>
      <c r="H147" s="4">
        <v>19.8</v>
      </c>
    </row>
    <row r="148" spans="1:8" x14ac:dyDescent="0.25">
      <c r="A148" s="2" t="s">
        <v>88</v>
      </c>
      <c r="B148" s="4">
        <v>0</v>
      </c>
      <c r="C148" s="4">
        <v>9</v>
      </c>
      <c r="D148" s="4">
        <v>54.71</v>
      </c>
      <c r="E148" s="4" t="s">
        <v>215</v>
      </c>
      <c r="F148" s="4">
        <v>0</v>
      </c>
      <c r="G148" s="4">
        <v>48</v>
      </c>
      <c r="H148" s="4">
        <v>53.6</v>
      </c>
    </row>
    <row r="149" spans="1:8" x14ac:dyDescent="0.25">
      <c r="A149" s="2" t="s">
        <v>89</v>
      </c>
      <c r="B149" s="4">
        <v>0</v>
      </c>
      <c r="C149" s="4">
        <v>12</v>
      </c>
      <c r="D149" s="4">
        <v>38.869999999999997</v>
      </c>
      <c r="E149" s="4" t="s">
        <v>215</v>
      </c>
      <c r="F149" s="4">
        <v>0</v>
      </c>
      <c r="G149" s="4">
        <v>31</v>
      </c>
      <c r="H149" s="4">
        <v>28.5</v>
      </c>
    </row>
    <row r="150" spans="1:8" x14ac:dyDescent="0.25">
      <c r="A150" s="2" t="s">
        <v>90</v>
      </c>
      <c r="B150" s="4">
        <v>0</v>
      </c>
      <c r="C150" s="4">
        <v>15</v>
      </c>
      <c r="D150" s="4">
        <v>22.86</v>
      </c>
      <c r="E150" s="4" t="s">
        <v>215</v>
      </c>
      <c r="F150" s="4">
        <v>0</v>
      </c>
      <c r="G150" s="4">
        <v>14</v>
      </c>
      <c r="H150" s="4">
        <v>4.5</v>
      </c>
    </row>
    <row r="151" spans="1:8" x14ac:dyDescent="0.25">
      <c r="A151" s="2" t="s">
        <v>91</v>
      </c>
      <c r="B151" s="4">
        <v>0</v>
      </c>
      <c r="C151" s="4">
        <v>18</v>
      </c>
      <c r="D151" s="4">
        <v>6.69</v>
      </c>
      <c r="E151" s="4" t="s">
        <v>92</v>
      </c>
      <c r="F151" s="4">
        <v>0</v>
      </c>
      <c r="G151" s="4">
        <v>3</v>
      </c>
      <c r="H151" s="4">
        <v>18</v>
      </c>
    </row>
    <row r="152" spans="1:8" x14ac:dyDescent="0.25">
      <c r="A152" s="2" t="s">
        <v>93</v>
      </c>
      <c r="B152" s="4">
        <v>0</v>
      </c>
      <c r="C152" s="4">
        <v>20</v>
      </c>
      <c r="D152" s="4">
        <v>50.36</v>
      </c>
      <c r="E152" s="4" t="s">
        <v>92</v>
      </c>
      <c r="F152" s="4">
        <v>0</v>
      </c>
      <c r="G152" s="4">
        <v>20</v>
      </c>
      <c r="H152" s="4">
        <v>39</v>
      </c>
    </row>
    <row r="153" spans="1:8" x14ac:dyDescent="0.25">
      <c r="A153" s="2" t="s">
        <v>94</v>
      </c>
      <c r="B153" s="4">
        <v>0</v>
      </c>
      <c r="C153" s="4">
        <v>23</v>
      </c>
      <c r="D153" s="4">
        <v>33.880000000000003</v>
      </c>
      <c r="E153" s="4" t="s">
        <v>92</v>
      </c>
      <c r="F153" s="4">
        <v>0</v>
      </c>
      <c r="G153" s="4">
        <v>37</v>
      </c>
      <c r="H153" s="4">
        <v>58.2</v>
      </c>
    </row>
    <row r="154" spans="1:8" x14ac:dyDescent="0.25">
      <c r="A154" s="2" t="s">
        <v>95</v>
      </c>
      <c r="B154" s="4">
        <v>0</v>
      </c>
      <c r="C154" s="4">
        <v>26</v>
      </c>
      <c r="D154" s="4">
        <v>17.239999999999998</v>
      </c>
      <c r="E154" s="4" t="s">
        <v>92</v>
      </c>
      <c r="F154" s="4">
        <v>0</v>
      </c>
      <c r="G154" s="4">
        <v>55</v>
      </c>
      <c r="H154" s="4">
        <v>15.6</v>
      </c>
    </row>
    <row r="155" spans="1:8" x14ac:dyDescent="0.25">
      <c r="A155" s="2" t="s">
        <v>96</v>
      </c>
      <c r="B155" s="4">
        <v>0</v>
      </c>
      <c r="C155" s="4">
        <v>29</v>
      </c>
      <c r="D155" s="4">
        <v>0.45</v>
      </c>
      <c r="E155" s="4" t="s">
        <v>92</v>
      </c>
      <c r="F155" s="4">
        <v>1</v>
      </c>
      <c r="G155" s="4">
        <v>12</v>
      </c>
      <c r="H155" s="4">
        <v>30.8</v>
      </c>
    </row>
    <row r="156" spans="1:8" x14ac:dyDescent="0.25">
      <c r="A156" s="2" t="s">
        <v>97</v>
      </c>
      <c r="B156" s="4">
        <v>0</v>
      </c>
      <c r="C156" s="4">
        <v>31</v>
      </c>
      <c r="D156" s="4">
        <v>43.52</v>
      </c>
      <c r="E156" s="4" t="s">
        <v>92</v>
      </c>
      <c r="F156" s="4">
        <v>1</v>
      </c>
      <c r="G156" s="4">
        <v>29</v>
      </c>
      <c r="H156" s="4">
        <v>43.7</v>
      </c>
    </row>
    <row r="157" spans="1:8" x14ac:dyDescent="0.25">
      <c r="A157" s="2" t="s">
        <v>98</v>
      </c>
      <c r="B157" s="4">
        <v>0</v>
      </c>
      <c r="C157" s="4">
        <v>34</v>
      </c>
      <c r="D157" s="4">
        <v>26.44</v>
      </c>
      <c r="E157" s="4" t="s">
        <v>92</v>
      </c>
      <c r="F157" s="4">
        <v>1</v>
      </c>
      <c r="G157" s="4">
        <v>46</v>
      </c>
      <c r="H157" s="4">
        <v>54.3</v>
      </c>
    </row>
    <row r="158" spans="1:8" x14ac:dyDescent="0.25">
      <c r="A158" s="2" t="s">
        <v>99</v>
      </c>
      <c r="B158" s="4">
        <v>0</v>
      </c>
      <c r="C158" s="4">
        <v>37</v>
      </c>
      <c r="D158" s="4">
        <v>9.23</v>
      </c>
      <c r="E158" s="4" t="s">
        <v>92</v>
      </c>
      <c r="F158" s="4">
        <v>2</v>
      </c>
      <c r="G158" s="4">
        <v>4</v>
      </c>
      <c r="H158" s="4">
        <v>2.2000000000000002</v>
      </c>
    </row>
    <row r="159" spans="1:8" x14ac:dyDescent="0.25">
      <c r="A159" s="2" t="s">
        <v>100</v>
      </c>
      <c r="B159" s="4">
        <v>0</v>
      </c>
      <c r="C159" s="4">
        <v>39</v>
      </c>
      <c r="D159" s="4">
        <v>51.88</v>
      </c>
      <c r="E159" s="4" t="s">
        <v>92</v>
      </c>
      <c r="F159" s="4">
        <v>2</v>
      </c>
      <c r="G159" s="4">
        <v>21</v>
      </c>
      <c r="H159" s="4">
        <v>7.5</v>
      </c>
    </row>
    <row r="160" spans="1:8" x14ac:dyDescent="0.25">
      <c r="A160" s="2" t="s">
        <v>101</v>
      </c>
      <c r="B160" s="4">
        <v>0</v>
      </c>
      <c r="C160" s="4">
        <v>42</v>
      </c>
      <c r="D160" s="4">
        <v>34.409999999999997</v>
      </c>
      <c r="E160" s="4" t="s">
        <v>92</v>
      </c>
      <c r="F160" s="4">
        <v>2</v>
      </c>
      <c r="G160" s="4">
        <v>38</v>
      </c>
      <c r="H160" s="4">
        <v>9.8000000000000007</v>
      </c>
    </row>
    <row r="161" spans="1:8" x14ac:dyDescent="0.25">
      <c r="A161" s="2" t="s">
        <v>102</v>
      </c>
      <c r="B161" s="4">
        <v>0</v>
      </c>
      <c r="C161" s="4">
        <v>45</v>
      </c>
      <c r="D161" s="4">
        <v>16.809999999999999</v>
      </c>
      <c r="E161" s="4" t="s">
        <v>92</v>
      </c>
      <c r="F161" s="4">
        <v>2</v>
      </c>
      <c r="G161" s="4">
        <v>55</v>
      </c>
      <c r="H161" s="4">
        <v>9.1</v>
      </c>
    </row>
    <row r="162" spans="1:8" x14ac:dyDescent="0.25">
      <c r="A162" s="2" t="s">
        <v>103</v>
      </c>
      <c r="B162" s="4">
        <v>0</v>
      </c>
      <c r="C162" s="4">
        <v>47</v>
      </c>
      <c r="D162" s="4">
        <v>59.09</v>
      </c>
      <c r="E162" s="4" t="s">
        <v>92</v>
      </c>
      <c r="F162" s="4">
        <v>3</v>
      </c>
      <c r="G162" s="4">
        <v>12</v>
      </c>
      <c r="H162" s="4">
        <v>5.3</v>
      </c>
    </row>
    <row r="163" spans="1:8" x14ac:dyDescent="0.25">
      <c r="A163" s="2" t="s">
        <v>104</v>
      </c>
      <c r="B163" s="4">
        <v>0</v>
      </c>
      <c r="C163" s="4">
        <v>50</v>
      </c>
      <c r="D163" s="4">
        <v>41.27</v>
      </c>
      <c r="E163" s="4" t="s">
        <v>92</v>
      </c>
      <c r="F163" s="4">
        <v>3</v>
      </c>
      <c r="G163" s="4">
        <v>28</v>
      </c>
      <c r="H163" s="4">
        <v>58.1</v>
      </c>
    </row>
    <row r="164" spans="1:8" x14ac:dyDescent="0.25">
      <c r="A164" s="2" t="s">
        <v>105</v>
      </c>
      <c r="B164" s="4">
        <v>0</v>
      </c>
      <c r="C164" s="4">
        <v>53</v>
      </c>
      <c r="D164" s="4">
        <v>23.33</v>
      </c>
      <c r="E164" s="4" t="s">
        <v>92</v>
      </c>
      <c r="F164" s="4">
        <v>3</v>
      </c>
      <c r="G164" s="4">
        <v>45</v>
      </c>
      <c r="H164" s="4">
        <v>47.5</v>
      </c>
    </row>
    <row r="165" spans="1:8" x14ac:dyDescent="0.25">
      <c r="A165" s="2" t="s">
        <v>106</v>
      </c>
      <c r="B165" s="4">
        <v>0</v>
      </c>
      <c r="C165" s="4">
        <v>56</v>
      </c>
      <c r="D165" s="4">
        <v>5.29</v>
      </c>
      <c r="E165" s="4" t="s">
        <v>92</v>
      </c>
      <c r="F165" s="4">
        <v>4</v>
      </c>
      <c r="G165" s="4">
        <v>2</v>
      </c>
      <c r="H165" s="4">
        <v>33.4</v>
      </c>
    </row>
    <row r="166" spans="1:8" x14ac:dyDescent="0.25">
      <c r="A166" s="2" t="s">
        <v>107</v>
      </c>
      <c r="B166" s="4">
        <v>0</v>
      </c>
      <c r="C166" s="4">
        <v>58</v>
      </c>
      <c r="D166" s="4">
        <v>47.15</v>
      </c>
      <c r="E166" s="4" t="s">
        <v>92</v>
      </c>
      <c r="F166" s="4">
        <v>4</v>
      </c>
      <c r="G166" s="4">
        <v>19</v>
      </c>
      <c r="H166" s="4">
        <v>15.5</v>
      </c>
    </row>
    <row r="167" spans="1:8" x14ac:dyDescent="0.25">
      <c r="A167" s="2" t="s">
        <v>108</v>
      </c>
      <c r="B167" s="4">
        <v>1</v>
      </c>
      <c r="C167" s="4">
        <v>1</v>
      </c>
      <c r="D167" s="4">
        <v>28.92</v>
      </c>
      <c r="E167" s="4" t="s">
        <v>92</v>
      </c>
      <c r="F167" s="4">
        <v>4</v>
      </c>
      <c r="G167" s="4">
        <v>35</v>
      </c>
      <c r="H167" s="4">
        <v>53.8</v>
      </c>
    </row>
    <row r="168" spans="1:8" x14ac:dyDescent="0.25">
      <c r="A168" s="2" t="s">
        <v>109</v>
      </c>
      <c r="B168" s="4">
        <v>1</v>
      </c>
      <c r="C168" s="4">
        <v>4</v>
      </c>
      <c r="D168" s="4">
        <v>10.6</v>
      </c>
      <c r="E168" s="4" t="s">
        <v>92</v>
      </c>
      <c r="F168" s="4">
        <v>4</v>
      </c>
      <c r="G168" s="4">
        <v>52</v>
      </c>
      <c r="H168" s="4">
        <v>28.1</v>
      </c>
    </row>
    <row r="169" spans="1:8" x14ac:dyDescent="0.25">
      <c r="A169" s="2" t="s">
        <v>110</v>
      </c>
      <c r="B169" s="4">
        <v>1</v>
      </c>
      <c r="C169" s="4">
        <v>6</v>
      </c>
      <c r="D169" s="4">
        <v>52.18</v>
      </c>
      <c r="E169" s="4" t="s">
        <v>92</v>
      </c>
      <c r="F169" s="4">
        <v>5</v>
      </c>
      <c r="G169" s="4">
        <v>8</v>
      </c>
      <c r="H169" s="4">
        <v>58.2</v>
      </c>
    </row>
    <row r="170" spans="1:8" x14ac:dyDescent="0.25">
      <c r="A170" s="2" t="s">
        <v>111</v>
      </c>
      <c r="B170" s="4">
        <v>1</v>
      </c>
      <c r="C170" s="4">
        <v>9</v>
      </c>
      <c r="D170" s="4">
        <v>33.659999999999997</v>
      </c>
      <c r="E170" s="4" t="s">
        <v>92</v>
      </c>
      <c r="F170" s="4">
        <v>5</v>
      </c>
      <c r="G170" s="4">
        <v>25</v>
      </c>
      <c r="H170" s="4">
        <v>23.9</v>
      </c>
    </row>
    <row r="171" spans="1:8" x14ac:dyDescent="0.25">
      <c r="A171" s="2" t="s">
        <v>112</v>
      </c>
      <c r="B171" s="4">
        <v>1</v>
      </c>
      <c r="C171" s="4">
        <v>12</v>
      </c>
      <c r="D171" s="4">
        <v>15.06</v>
      </c>
      <c r="E171" s="4" t="s">
        <v>92</v>
      </c>
      <c r="F171" s="4">
        <v>5</v>
      </c>
      <c r="G171" s="4">
        <v>41</v>
      </c>
      <c r="H171" s="4">
        <v>45.2</v>
      </c>
    </row>
    <row r="172" spans="1:8" x14ac:dyDescent="0.25">
      <c r="A172" s="2" t="s">
        <v>113</v>
      </c>
      <c r="B172" s="4">
        <v>1</v>
      </c>
      <c r="C172" s="4">
        <v>14</v>
      </c>
      <c r="D172" s="4">
        <v>56.35</v>
      </c>
      <c r="E172" s="4" t="s">
        <v>92</v>
      </c>
      <c r="F172" s="4">
        <v>5</v>
      </c>
      <c r="G172" s="4">
        <v>58</v>
      </c>
      <c r="H172" s="4">
        <v>1.8</v>
      </c>
    </row>
    <row r="173" spans="1:8" x14ac:dyDescent="0.25">
      <c r="A173" s="2" t="s">
        <v>114</v>
      </c>
      <c r="B173" s="4">
        <v>1</v>
      </c>
      <c r="C173" s="4">
        <v>17</v>
      </c>
      <c r="D173" s="4">
        <v>37.549999999999997</v>
      </c>
      <c r="E173" s="4" t="s">
        <v>92</v>
      </c>
      <c r="F173" s="4">
        <v>6</v>
      </c>
      <c r="G173" s="4">
        <v>14</v>
      </c>
      <c r="H173" s="4">
        <v>13.6</v>
      </c>
    </row>
    <row r="174" spans="1:8" x14ac:dyDescent="0.25">
      <c r="A174" s="2" t="s">
        <v>115</v>
      </c>
      <c r="B174" s="4">
        <v>1</v>
      </c>
      <c r="C174" s="4">
        <v>20</v>
      </c>
      <c r="D174" s="4">
        <v>18.64</v>
      </c>
      <c r="E174" s="4" t="s">
        <v>92</v>
      </c>
      <c r="F174" s="4">
        <v>6</v>
      </c>
      <c r="G174" s="4">
        <v>30</v>
      </c>
      <c r="H174" s="4">
        <v>20.399999999999999</v>
      </c>
    </row>
    <row r="175" spans="1:8" x14ac:dyDescent="0.25">
      <c r="A175" s="2" t="s">
        <v>116</v>
      </c>
      <c r="B175" s="4">
        <v>1</v>
      </c>
      <c r="C175" s="4">
        <v>22</v>
      </c>
      <c r="D175" s="4">
        <v>59.63</v>
      </c>
      <c r="E175" s="4" t="s">
        <v>92</v>
      </c>
      <c r="F175" s="4">
        <v>6</v>
      </c>
      <c r="G175" s="4">
        <v>46</v>
      </c>
      <c r="H175" s="4">
        <v>22</v>
      </c>
    </row>
    <row r="176" spans="1:8" x14ac:dyDescent="0.25">
      <c r="A176" s="2" t="s">
        <v>117</v>
      </c>
      <c r="B176" s="4">
        <v>1</v>
      </c>
      <c r="C176" s="4">
        <v>25</v>
      </c>
      <c r="D176" s="4">
        <v>40.51</v>
      </c>
      <c r="E176" s="4" t="s">
        <v>92</v>
      </c>
      <c r="F176" s="4">
        <v>7</v>
      </c>
      <c r="G176" s="4">
        <v>2</v>
      </c>
      <c r="H176" s="4">
        <v>18.3</v>
      </c>
    </row>
    <row r="177" spans="1:8" x14ac:dyDescent="0.25">
      <c r="A177" s="2" t="s">
        <v>118</v>
      </c>
      <c r="B177" s="4">
        <v>1</v>
      </c>
      <c r="C177" s="4">
        <v>28</v>
      </c>
      <c r="D177" s="4">
        <v>21.28</v>
      </c>
      <c r="E177" s="4" t="s">
        <v>92</v>
      </c>
      <c r="F177" s="4">
        <v>7</v>
      </c>
      <c r="G177" s="4">
        <v>18</v>
      </c>
      <c r="H177" s="4">
        <v>9.1</v>
      </c>
    </row>
    <row r="178" spans="1:8" x14ac:dyDescent="0.25">
      <c r="A178" s="2" t="s">
        <v>119</v>
      </c>
      <c r="B178" s="4">
        <v>1</v>
      </c>
      <c r="C178" s="4">
        <v>31</v>
      </c>
      <c r="D178" s="4">
        <v>1.94</v>
      </c>
      <c r="E178" s="4" t="s">
        <v>92</v>
      </c>
      <c r="F178" s="4">
        <v>7</v>
      </c>
      <c r="G178" s="4">
        <v>33</v>
      </c>
      <c r="H178" s="4">
        <v>54.2</v>
      </c>
    </row>
    <row r="179" spans="1:8" x14ac:dyDescent="0.25">
      <c r="A179" s="2" t="s">
        <v>120</v>
      </c>
      <c r="B179" s="4">
        <v>1</v>
      </c>
      <c r="C179" s="4">
        <v>33</v>
      </c>
      <c r="D179" s="4">
        <v>42.48</v>
      </c>
      <c r="E179" s="4" t="s">
        <v>92</v>
      </c>
      <c r="F179" s="4">
        <v>7</v>
      </c>
      <c r="G179" s="4">
        <v>49</v>
      </c>
      <c r="H179" s="4">
        <v>33.5</v>
      </c>
    </row>
    <row r="180" spans="1:8" x14ac:dyDescent="0.25">
      <c r="A180" s="2" t="s">
        <v>121</v>
      </c>
      <c r="B180" s="4">
        <v>1</v>
      </c>
      <c r="C180" s="4">
        <v>36</v>
      </c>
      <c r="D180" s="4">
        <v>22.9</v>
      </c>
      <c r="E180" s="4" t="s">
        <v>92</v>
      </c>
      <c r="F180" s="4">
        <v>8</v>
      </c>
      <c r="G180" s="4">
        <v>5</v>
      </c>
      <c r="H180" s="4">
        <v>6.8</v>
      </c>
    </row>
    <row r="181" spans="1:8" x14ac:dyDescent="0.25">
      <c r="A181" s="2" t="s">
        <v>122</v>
      </c>
      <c r="B181" s="4">
        <v>1</v>
      </c>
      <c r="C181" s="4">
        <v>39</v>
      </c>
      <c r="D181" s="4">
        <v>3.2</v>
      </c>
      <c r="E181" s="4" t="s">
        <v>92</v>
      </c>
      <c r="F181" s="4">
        <v>8</v>
      </c>
      <c r="G181" s="4">
        <v>20</v>
      </c>
      <c r="H181" s="4">
        <v>34.1</v>
      </c>
    </row>
    <row r="182" spans="1:8" x14ac:dyDescent="0.25">
      <c r="A182" s="2" t="s">
        <v>123</v>
      </c>
      <c r="B182" s="4">
        <v>1</v>
      </c>
      <c r="C182" s="4">
        <v>41</v>
      </c>
      <c r="D182" s="4">
        <v>43.37</v>
      </c>
      <c r="E182" s="4" t="s">
        <v>92</v>
      </c>
      <c r="F182" s="4">
        <v>8</v>
      </c>
      <c r="G182" s="4">
        <v>35</v>
      </c>
      <c r="H182" s="4">
        <v>55.1</v>
      </c>
    </row>
    <row r="183" spans="1:8" x14ac:dyDescent="0.25">
      <c r="A183" s="2" t="s">
        <v>124</v>
      </c>
      <c r="B183" s="4">
        <v>1</v>
      </c>
      <c r="C183" s="4">
        <v>44</v>
      </c>
      <c r="D183" s="4">
        <v>23.41</v>
      </c>
      <c r="E183" s="4" t="s">
        <v>92</v>
      </c>
      <c r="F183" s="4">
        <v>8</v>
      </c>
      <c r="G183" s="4">
        <v>51</v>
      </c>
      <c r="H183" s="4">
        <v>9.8000000000000007</v>
      </c>
    </row>
    <row r="184" spans="1:8" x14ac:dyDescent="0.25">
      <c r="A184" s="2" t="s">
        <v>125</v>
      </c>
      <c r="B184" s="4">
        <v>1</v>
      </c>
      <c r="C184" s="4">
        <v>47</v>
      </c>
      <c r="D184" s="4">
        <v>3.33</v>
      </c>
      <c r="E184" s="4" t="s">
        <v>92</v>
      </c>
      <c r="F184" s="4">
        <v>9</v>
      </c>
      <c r="G184" s="4">
        <v>6</v>
      </c>
      <c r="H184" s="4">
        <v>17.899999999999999</v>
      </c>
    </row>
    <row r="185" spans="1:8" x14ac:dyDescent="0.25">
      <c r="A185" s="2" t="s">
        <v>126</v>
      </c>
      <c r="B185" s="4">
        <v>1</v>
      </c>
      <c r="C185" s="4">
        <v>49</v>
      </c>
      <c r="D185" s="4">
        <v>43.11</v>
      </c>
      <c r="E185" s="4" t="s">
        <v>92</v>
      </c>
      <c r="F185" s="4">
        <v>9</v>
      </c>
      <c r="G185" s="4">
        <v>21</v>
      </c>
      <c r="H185" s="4">
        <v>19.399999999999999</v>
      </c>
    </row>
    <row r="186" spans="1:8" x14ac:dyDescent="0.25">
      <c r="A186" s="2" t="s">
        <v>127</v>
      </c>
      <c r="B186" s="4">
        <v>1</v>
      </c>
      <c r="C186" s="4">
        <v>52</v>
      </c>
      <c r="D186" s="4">
        <v>22.76</v>
      </c>
      <c r="E186" s="4" t="s">
        <v>92</v>
      </c>
      <c r="F186" s="4">
        <v>9</v>
      </c>
      <c r="G186" s="4">
        <v>36</v>
      </c>
      <c r="H186" s="4">
        <v>14.2</v>
      </c>
    </row>
    <row r="187" spans="1:8" x14ac:dyDescent="0.25">
      <c r="A187" s="2" t="s">
        <v>128</v>
      </c>
      <c r="B187" s="4">
        <v>1</v>
      </c>
      <c r="C187" s="4">
        <v>55</v>
      </c>
      <c r="D187" s="4">
        <v>2.27</v>
      </c>
      <c r="E187" s="4" t="s">
        <v>92</v>
      </c>
      <c r="F187" s="4">
        <v>9</v>
      </c>
      <c r="G187" s="4">
        <v>51</v>
      </c>
      <c r="H187" s="4">
        <v>2.1</v>
      </c>
    </row>
    <row r="188" spans="1:8" x14ac:dyDescent="0.25">
      <c r="A188" s="2" t="s">
        <v>129</v>
      </c>
      <c r="B188" s="4">
        <v>1</v>
      </c>
      <c r="C188" s="4">
        <v>57</v>
      </c>
      <c r="D188" s="4">
        <v>41.64</v>
      </c>
      <c r="E188" s="4" t="s">
        <v>92</v>
      </c>
      <c r="F188" s="4">
        <v>10</v>
      </c>
      <c r="G188" s="4">
        <v>5</v>
      </c>
      <c r="H188" s="4">
        <v>43.1</v>
      </c>
    </row>
    <row r="189" spans="1:8" x14ac:dyDescent="0.25">
      <c r="A189" s="2" t="s">
        <v>130</v>
      </c>
      <c r="B189" s="4">
        <v>2</v>
      </c>
      <c r="C189" s="4">
        <v>0</v>
      </c>
      <c r="D189" s="4">
        <v>20.88</v>
      </c>
      <c r="E189" s="4" t="s">
        <v>92</v>
      </c>
      <c r="F189" s="4">
        <v>10</v>
      </c>
      <c r="G189" s="4">
        <v>20</v>
      </c>
      <c r="H189" s="4">
        <v>17</v>
      </c>
    </row>
    <row r="190" spans="1:8" x14ac:dyDescent="0.25">
      <c r="A190" s="2" t="s">
        <v>131</v>
      </c>
      <c r="B190" s="4">
        <v>2</v>
      </c>
      <c r="C190" s="4">
        <v>2</v>
      </c>
      <c r="D190" s="4">
        <v>59.97</v>
      </c>
      <c r="E190" s="4" t="s">
        <v>92</v>
      </c>
      <c r="F190" s="4">
        <v>10</v>
      </c>
      <c r="G190" s="4">
        <v>34</v>
      </c>
      <c r="H190" s="4">
        <v>43.8</v>
      </c>
    </row>
    <row r="191" spans="1:8" x14ac:dyDescent="0.25">
      <c r="A191" s="2" t="s">
        <v>132</v>
      </c>
      <c r="B191" s="4">
        <v>2</v>
      </c>
      <c r="C191" s="4">
        <v>5</v>
      </c>
      <c r="D191" s="4">
        <v>38.92</v>
      </c>
      <c r="E191" s="4" t="s">
        <v>92</v>
      </c>
      <c r="F191" s="4">
        <v>10</v>
      </c>
      <c r="G191" s="4">
        <v>49</v>
      </c>
      <c r="H191" s="4">
        <v>3.3</v>
      </c>
    </row>
    <row r="192" spans="1:8" x14ac:dyDescent="0.25">
      <c r="A192" s="2" t="s">
        <v>133</v>
      </c>
      <c r="B192" s="4">
        <v>2</v>
      </c>
      <c r="C192" s="4">
        <v>8</v>
      </c>
      <c r="D192" s="4">
        <v>17.73</v>
      </c>
      <c r="E192" s="4" t="s">
        <v>92</v>
      </c>
      <c r="F192" s="4">
        <v>11</v>
      </c>
      <c r="G192" s="4">
        <v>3</v>
      </c>
      <c r="H192" s="4">
        <v>15.5</v>
      </c>
    </row>
    <row r="193" spans="1:8" x14ac:dyDescent="0.25">
      <c r="A193" s="2" t="s">
        <v>134</v>
      </c>
      <c r="B193" s="4">
        <v>2</v>
      </c>
      <c r="C193" s="4">
        <v>10</v>
      </c>
      <c r="D193" s="4">
        <v>56.39</v>
      </c>
      <c r="E193" s="4" t="s">
        <v>92</v>
      </c>
      <c r="F193" s="4">
        <v>11</v>
      </c>
      <c r="G193" s="4">
        <v>17</v>
      </c>
      <c r="H193" s="4">
        <v>20.2</v>
      </c>
    </row>
    <row r="194" spans="1:8" x14ac:dyDescent="0.25">
      <c r="A194" s="2" t="s">
        <v>135</v>
      </c>
      <c r="B194" s="4">
        <v>2</v>
      </c>
      <c r="C194" s="4">
        <v>13</v>
      </c>
      <c r="D194" s="4">
        <v>34.909999999999997</v>
      </c>
      <c r="E194" s="4" t="s">
        <v>92</v>
      </c>
      <c r="F194" s="4">
        <v>11</v>
      </c>
      <c r="G194" s="4">
        <v>31</v>
      </c>
      <c r="H194" s="4">
        <v>17.5</v>
      </c>
    </row>
    <row r="195" spans="1:8" x14ac:dyDescent="0.25">
      <c r="A195" s="2" t="s">
        <v>136</v>
      </c>
      <c r="B195" s="4">
        <v>2</v>
      </c>
      <c r="C195" s="4">
        <v>16</v>
      </c>
      <c r="D195" s="4">
        <v>13.28</v>
      </c>
      <c r="E195" s="4" t="s">
        <v>92</v>
      </c>
      <c r="F195" s="4">
        <v>11</v>
      </c>
      <c r="G195" s="4">
        <v>45</v>
      </c>
      <c r="H195" s="4">
        <v>7.2</v>
      </c>
    </row>
    <row r="196" spans="1:8" x14ac:dyDescent="0.25">
      <c r="A196" s="2" t="s">
        <v>137</v>
      </c>
      <c r="B196" s="4">
        <v>2</v>
      </c>
      <c r="C196" s="4">
        <v>18</v>
      </c>
      <c r="D196" s="4">
        <v>51.49</v>
      </c>
      <c r="E196" s="4" t="s">
        <v>92</v>
      </c>
      <c r="F196" s="4">
        <v>11</v>
      </c>
      <c r="G196" s="4">
        <v>58</v>
      </c>
      <c r="H196" s="4">
        <v>49.2</v>
      </c>
    </row>
    <row r="197" spans="1:8" x14ac:dyDescent="0.25">
      <c r="A197" s="2" t="s">
        <v>138</v>
      </c>
      <c r="B197" s="4">
        <v>2</v>
      </c>
      <c r="C197" s="4">
        <v>21</v>
      </c>
      <c r="D197" s="4">
        <v>29.55</v>
      </c>
      <c r="E197" s="4" t="s">
        <v>92</v>
      </c>
      <c r="F197" s="4">
        <v>12</v>
      </c>
      <c r="G197" s="4">
        <v>12</v>
      </c>
      <c r="H197" s="4">
        <v>23.4</v>
      </c>
    </row>
    <row r="198" spans="1:8" x14ac:dyDescent="0.25">
      <c r="A198" s="2" t="s">
        <v>139</v>
      </c>
      <c r="B198" s="4">
        <v>2</v>
      </c>
      <c r="C198" s="4">
        <v>24</v>
      </c>
      <c r="D198" s="4">
        <v>7.44</v>
      </c>
      <c r="E198" s="4" t="s">
        <v>92</v>
      </c>
      <c r="F198" s="4">
        <v>12</v>
      </c>
      <c r="G198" s="4">
        <v>25</v>
      </c>
      <c r="H198" s="4">
        <v>49.8</v>
      </c>
    </row>
    <row r="199" spans="1:8" x14ac:dyDescent="0.25">
      <c r="A199" s="2" t="s">
        <v>140</v>
      </c>
      <c r="B199" s="4">
        <v>2</v>
      </c>
      <c r="C199" s="4">
        <v>26</v>
      </c>
      <c r="D199" s="4">
        <v>45.15</v>
      </c>
      <c r="E199" s="4" t="s">
        <v>92</v>
      </c>
      <c r="F199" s="4">
        <v>12</v>
      </c>
      <c r="G199" s="4">
        <v>39</v>
      </c>
      <c r="H199" s="4">
        <v>8.1</v>
      </c>
    </row>
    <row r="200" spans="1:8" x14ac:dyDescent="0.25">
      <c r="A200" s="2" t="s">
        <v>141</v>
      </c>
      <c r="B200" s="4">
        <v>2</v>
      </c>
      <c r="C200" s="4">
        <v>29</v>
      </c>
      <c r="D200" s="4">
        <v>22.68</v>
      </c>
      <c r="E200" s="4" t="s">
        <v>92</v>
      </c>
      <c r="F200" s="4">
        <v>12</v>
      </c>
      <c r="G200" s="4">
        <v>52</v>
      </c>
      <c r="H200" s="4">
        <v>18.399999999999999</v>
      </c>
    </row>
    <row r="201" spans="1:8" x14ac:dyDescent="0.25">
      <c r="A201" s="2" t="s">
        <v>142</v>
      </c>
      <c r="B201" s="4">
        <v>2</v>
      </c>
      <c r="C201" s="4">
        <v>32</v>
      </c>
      <c r="D201" s="4">
        <v>0</v>
      </c>
      <c r="E201" s="4" t="s">
        <v>92</v>
      </c>
      <c r="F201" s="4">
        <v>13</v>
      </c>
      <c r="G201" s="4">
        <v>5</v>
      </c>
      <c r="H201" s="4">
        <v>20.399999999999999</v>
      </c>
    </row>
    <row r="202" spans="1:8" x14ac:dyDescent="0.25">
      <c r="A202" s="2" t="s">
        <v>143</v>
      </c>
      <c r="B202" s="4">
        <v>2</v>
      </c>
      <c r="C202" s="4">
        <v>34</v>
      </c>
      <c r="D202" s="4">
        <v>37.119999999999997</v>
      </c>
      <c r="E202" s="4" t="s">
        <v>92</v>
      </c>
      <c r="F202" s="4">
        <v>13</v>
      </c>
      <c r="G202" s="4">
        <v>18</v>
      </c>
      <c r="H202" s="4">
        <v>14.1</v>
      </c>
    </row>
    <row r="203" spans="1:8" x14ac:dyDescent="0.25">
      <c r="A203" s="2" t="s">
        <v>144</v>
      </c>
      <c r="B203" s="4">
        <v>2</v>
      </c>
      <c r="C203" s="4">
        <v>37</v>
      </c>
      <c r="D203" s="4">
        <v>14.02</v>
      </c>
      <c r="E203" s="4" t="s">
        <v>92</v>
      </c>
      <c r="F203" s="4">
        <v>13</v>
      </c>
      <c r="G203" s="4">
        <v>30</v>
      </c>
      <c r="H203" s="4">
        <v>59.4</v>
      </c>
    </row>
    <row r="204" spans="1:8" x14ac:dyDescent="0.25">
      <c r="A204" s="2" t="s">
        <v>145</v>
      </c>
      <c r="B204" s="4">
        <v>2</v>
      </c>
      <c r="C204" s="4">
        <v>39</v>
      </c>
      <c r="D204" s="4">
        <v>50.69</v>
      </c>
      <c r="E204" s="4" t="s">
        <v>92</v>
      </c>
      <c r="F204" s="4">
        <v>13</v>
      </c>
      <c r="G204" s="4">
        <v>43</v>
      </c>
      <c r="H204" s="4">
        <v>36.1</v>
      </c>
    </row>
    <row r="205" spans="1:8" x14ac:dyDescent="0.25">
      <c r="A205" s="2" t="s">
        <v>146</v>
      </c>
      <c r="B205" s="4">
        <v>2</v>
      </c>
      <c r="C205" s="4">
        <v>42</v>
      </c>
      <c r="D205" s="4">
        <v>27.11</v>
      </c>
      <c r="E205" s="4" t="s">
        <v>92</v>
      </c>
      <c r="F205" s="4">
        <v>13</v>
      </c>
      <c r="G205" s="4">
        <v>56</v>
      </c>
      <c r="H205" s="4">
        <v>4.3</v>
      </c>
    </row>
    <row r="206" spans="1:8" x14ac:dyDescent="0.25">
      <c r="A206" s="2" t="s">
        <v>147</v>
      </c>
      <c r="B206" s="4">
        <v>2</v>
      </c>
      <c r="C206" s="4">
        <v>45</v>
      </c>
      <c r="D206" s="4">
        <v>3.27</v>
      </c>
      <c r="E206" s="4" t="s">
        <v>92</v>
      </c>
      <c r="F206" s="4">
        <v>14</v>
      </c>
      <c r="G206" s="4">
        <v>8</v>
      </c>
      <c r="H206" s="4">
        <v>23.7</v>
      </c>
    </row>
    <row r="207" spans="1:8" x14ac:dyDescent="0.25">
      <c r="A207" s="2" t="s">
        <v>148</v>
      </c>
      <c r="B207" s="4">
        <v>2</v>
      </c>
      <c r="C207" s="4">
        <v>47</v>
      </c>
      <c r="D207" s="4">
        <v>39.159999999999997</v>
      </c>
      <c r="E207" s="4" t="s">
        <v>92</v>
      </c>
      <c r="F207" s="4">
        <v>14</v>
      </c>
      <c r="G207" s="4">
        <v>20</v>
      </c>
      <c r="H207" s="4">
        <v>34.299999999999997</v>
      </c>
    </row>
    <row r="208" spans="1:8" x14ac:dyDescent="0.25">
      <c r="A208" s="2" t="s">
        <v>149</v>
      </c>
      <c r="B208" s="4">
        <v>2</v>
      </c>
      <c r="C208" s="4">
        <v>50</v>
      </c>
      <c r="D208" s="4">
        <v>14.77</v>
      </c>
      <c r="E208" s="4" t="s">
        <v>92</v>
      </c>
      <c r="F208" s="4">
        <v>14</v>
      </c>
      <c r="G208" s="4">
        <v>32</v>
      </c>
      <c r="H208" s="4">
        <v>36</v>
      </c>
    </row>
    <row r="209" spans="1:8" x14ac:dyDescent="0.25">
      <c r="A209" s="2" t="s">
        <v>150</v>
      </c>
      <c r="B209" s="4">
        <v>2</v>
      </c>
      <c r="C209" s="4">
        <v>52</v>
      </c>
      <c r="D209" s="4">
        <v>50.08</v>
      </c>
      <c r="E209" s="4" t="s">
        <v>92</v>
      </c>
      <c r="F209" s="4">
        <v>14</v>
      </c>
      <c r="G209" s="4">
        <v>44</v>
      </c>
      <c r="H209" s="4">
        <v>28.8</v>
      </c>
    </row>
    <row r="210" spans="1:8" x14ac:dyDescent="0.25">
      <c r="A210" s="2" t="s">
        <v>151</v>
      </c>
      <c r="B210" s="4">
        <v>2</v>
      </c>
      <c r="C210" s="4">
        <v>55</v>
      </c>
      <c r="D210" s="4">
        <v>25.08</v>
      </c>
      <c r="E210" s="4" t="s">
        <v>92</v>
      </c>
      <c r="F210" s="4">
        <v>14</v>
      </c>
      <c r="G210" s="4">
        <v>56</v>
      </c>
      <c r="H210" s="4">
        <v>12.6</v>
      </c>
    </row>
    <row r="211" spans="1:8" x14ac:dyDescent="0.25">
      <c r="A211" s="2" t="s">
        <v>152</v>
      </c>
      <c r="B211" s="4">
        <v>2</v>
      </c>
      <c r="C211" s="4">
        <v>57</v>
      </c>
      <c r="D211" s="4">
        <v>59.76</v>
      </c>
      <c r="E211" s="4" t="s">
        <v>92</v>
      </c>
      <c r="F211" s="4">
        <v>15</v>
      </c>
      <c r="G211" s="4">
        <v>7</v>
      </c>
      <c r="H211" s="4">
        <v>47.3</v>
      </c>
    </row>
    <row r="212" spans="1:8" x14ac:dyDescent="0.25">
      <c r="A212" s="2" t="s">
        <v>153</v>
      </c>
      <c r="B212" s="4">
        <v>3</v>
      </c>
      <c r="C212" s="4">
        <v>0</v>
      </c>
      <c r="D212" s="4">
        <v>34.11</v>
      </c>
      <c r="E212" s="4" t="s">
        <v>92</v>
      </c>
      <c r="F212" s="4">
        <v>15</v>
      </c>
      <c r="G212" s="4">
        <v>19</v>
      </c>
      <c r="H212" s="4">
        <v>12.9</v>
      </c>
    </row>
    <row r="213" spans="1:8" x14ac:dyDescent="0.25">
      <c r="A213" s="2">
        <v>44774</v>
      </c>
      <c r="B213" s="4">
        <v>3</v>
      </c>
      <c r="C213" s="4">
        <v>3</v>
      </c>
      <c r="D213" s="4">
        <v>8.1</v>
      </c>
      <c r="E213" s="4" t="s">
        <v>92</v>
      </c>
      <c r="F213" s="4">
        <v>15</v>
      </c>
      <c r="G213" s="4">
        <v>30</v>
      </c>
      <c r="H213" s="4">
        <v>29.3</v>
      </c>
    </row>
    <row r="214" spans="1:8" x14ac:dyDescent="0.25">
      <c r="A214" s="2">
        <v>44775</v>
      </c>
      <c r="B214" s="4">
        <v>3</v>
      </c>
      <c r="C214" s="4">
        <v>5</v>
      </c>
      <c r="D214" s="4">
        <v>41.74</v>
      </c>
      <c r="E214" s="4" t="s">
        <v>92</v>
      </c>
      <c r="F214" s="4">
        <v>15</v>
      </c>
      <c r="G214" s="4">
        <v>41</v>
      </c>
      <c r="H214" s="4">
        <v>36.5</v>
      </c>
    </row>
    <row r="215" spans="1:8" x14ac:dyDescent="0.25">
      <c r="A215" s="2">
        <v>44776</v>
      </c>
      <c r="B215" s="4">
        <v>3</v>
      </c>
      <c r="C215" s="4">
        <v>8</v>
      </c>
      <c r="D215" s="4">
        <v>15</v>
      </c>
      <c r="E215" s="4" t="s">
        <v>92</v>
      </c>
      <c r="F215" s="4">
        <v>15</v>
      </c>
      <c r="G215" s="4">
        <v>52</v>
      </c>
      <c r="H215" s="4">
        <v>34.5</v>
      </c>
    </row>
    <row r="216" spans="1:8" x14ac:dyDescent="0.25">
      <c r="A216" s="2">
        <v>44777</v>
      </c>
      <c r="B216" s="4">
        <v>3</v>
      </c>
      <c r="C216" s="4">
        <v>10</v>
      </c>
      <c r="D216" s="4">
        <v>47.88</v>
      </c>
      <c r="E216" s="4" t="s">
        <v>92</v>
      </c>
      <c r="F216" s="4">
        <v>16</v>
      </c>
      <c r="G216" s="4">
        <v>3</v>
      </c>
      <c r="H216" s="4">
        <v>23.2</v>
      </c>
    </row>
    <row r="217" spans="1:8" x14ac:dyDescent="0.25">
      <c r="A217" s="2">
        <v>44778</v>
      </c>
      <c r="B217" s="4">
        <v>3</v>
      </c>
      <c r="C217" s="4">
        <v>13</v>
      </c>
      <c r="D217" s="4">
        <v>20.36</v>
      </c>
      <c r="E217" s="4" t="s">
        <v>92</v>
      </c>
      <c r="F217" s="4">
        <v>16</v>
      </c>
      <c r="G217" s="4">
        <v>14</v>
      </c>
      <c r="H217" s="4">
        <v>2.6</v>
      </c>
    </row>
    <row r="218" spans="1:8" x14ac:dyDescent="0.25">
      <c r="A218" s="2">
        <v>44779</v>
      </c>
      <c r="B218" s="4">
        <v>3</v>
      </c>
      <c r="C218" s="4">
        <v>15</v>
      </c>
      <c r="D218" s="4">
        <v>52.43</v>
      </c>
      <c r="E218" s="4" t="s">
        <v>92</v>
      </c>
      <c r="F218" s="4">
        <v>16</v>
      </c>
      <c r="G218" s="4">
        <v>24</v>
      </c>
      <c r="H218" s="4">
        <v>32.700000000000003</v>
      </c>
    </row>
    <row r="219" spans="1:8" x14ac:dyDescent="0.25">
      <c r="A219" s="2">
        <v>44780</v>
      </c>
      <c r="B219" s="4">
        <v>3</v>
      </c>
      <c r="C219" s="4">
        <v>18</v>
      </c>
      <c r="D219" s="4">
        <v>24.08</v>
      </c>
      <c r="E219" s="4" t="s">
        <v>92</v>
      </c>
      <c r="F219" s="4">
        <v>16</v>
      </c>
      <c r="G219" s="4">
        <v>34</v>
      </c>
      <c r="H219" s="4">
        <v>53.6</v>
      </c>
    </row>
    <row r="220" spans="1:8" x14ac:dyDescent="0.25">
      <c r="A220" s="2">
        <v>44781</v>
      </c>
      <c r="B220" s="4">
        <v>3</v>
      </c>
      <c r="C220" s="4">
        <v>20</v>
      </c>
      <c r="D220" s="4">
        <v>55.3</v>
      </c>
      <c r="E220" s="4" t="s">
        <v>92</v>
      </c>
      <c r="F220" s="4">
        <v>16</v>
      </c>
      <c r="G220" s="4">
        <v>45</v>
      </c>
      <c r="H220" s="4">
        <v>5.0999999999999996</v>
      </c>
    </row>
    <row r="221" spans="1:8" x14ac:dyDescent="0.25">
      <c r="A221" s="2">
        <v>44782</v>
      </c>
      <c r="B221" s="4">
        <v>3</v>
      </c>
      <c r="C221" s="4">
        <v>23</v>
      </c>
      <c r="D221" s="4">
        <v>26.08</v>
      </c>
      <c r="E221" s="4" t="s">
        <v>92</v>
      </c>
      <c r="F221" s="4">
        <v>16</v>
      </c>
      <c r="G221" s="4">
        <v>55</v>
      </c>
      <c r="H221" s="4">
        <v>7.4</v>
      </c>
    </row>
    <row r="222" spans="1:8" x14ac:dyDescent="0.25">
      <c r="A222" s="2">
        <v>44783</v>
      </c>
      <c r="B222" s="4">
        <v>3</v>
      </c>
      <c r="C222" s="4">
        <v>25</v>
      </c>
      <c r="D222" s="4">
        <v>56.4</v>
      </c>
      <c r="E222" s="4" t="s">
        <v>92</v>
      </c>
      <c r="F222" s="4">
        <v>17</v>
      </c>
      <c r="G222" s="4">
        <v>5</v>
      </c>
      <c r="H222" s="4">
        <v>0.4</v>
      </c>
    </row>
    <row r="223" spans="1:8" x14ac:dyDescent="0.25">
      <c r="A223" s="2">
        <v>44784</v>
      </c>
      <c r="B223" s="4">
        <v>3</v>
      </c>
      <c r="C223" s="4">
        <v>28</v>
      </c>
      <c r="D223" s="4">
        <v>26.26</v>
      </c>
      <c r="E223" s="4" t="s">
        <v>92</v>
      </c>
      <c r="F223" s="4">
        <v>17</v>
      </c>
      <c r="G223" s="4">
        <v>14</v>
      </c>
      <c r="H223" s="4">
        <v>44.1</v>
      </c>
    </row>
    <row r="224" spans="1:8" x14ac:dyDescent="0.25">
      <c r="A224" s="2">
        <v>44785</v>
      </c>
      <c r="B224" s="4">
        <v>3</v>
      </c>
      <c r="C224" s="4">
        <v>30</v>
      </c>
      <c r="D224" s="4">
        <v>55.63</v>
      </c>
      <c r="E224" s="4" t="s">
        <v>92</v>
      </c>
      <c r="F224" s="4">
        <v>17</v>
      </c>
      <c r="G224" s="4">
        <v>24</v>
      </c>
      <c r="H224" s="4">
        <v>18.600000000000001</v>
      </c>
    </row>
    <row r="225" spans="1:8" x14ac:dyDescent="0.25">
      <c r="A225" s="2">
        <v>44786</v>
      </c>
      <c r="B225" s="4">
        <v>3</v>
      </c>
      <c r="C225" s="4">
        <v>33</v>
      </c>
      <c r="D225" s="4">
        <v>24.51</v>
      </c>
      <c r="E225" s="4" t="s">
        <v>92</v>
      </c>
      <c r="F225" s="4">
        <v>17</v>
      </c>
      <c r="G225" s="4">
        <v>33</v>
      </c>
      <c r="H225" s="4">
        <v>43.8</v>
      </c>
    </row>
    <row r="226" spans="1:8" x14ac:dyDescent="0.25">
      <c r="A226" s="2">
        <v>44787</v>
      </c>
      <c r="B226" s="4">
        <v>3</v>
      </c>
      <c r="C226" s="4">
        <v>35</v>
      </c>
      <c r="D226" s="4">
        <v>52.86</v>
      </c>
      <c r="E226" s="4" t="s">
        <v>92</v>
      </c>
      <c r="F226" s="4">
        <v>17</v>
      </c>
      <c r="G226" s="4">
        <v>42</v>
      </c>
      <c r="H226" s="4">
        <v>59.8</v>
      </c>
    </row>
    <row r="227" spans="1:8" x14ac:dyDescent="0.25">
      <c r="A227" s="2">
        <v>44788</v>
      </c>
      <c r="B227" s="4">
        <v>3</v>
      </c>
      <c r="C227" s="4">
        <v>38</v>
      </c>
      <c r="D227" s="4">
        <v>20.69</v>
      </c>
      <c r="E227" s="4" t="s">
        <v>92</v>
      </c>
      <c r="F227" s="4">
        <v>17</v>
      </c>
      <c r="G227" s="4">
        <v>52</v>
      </c>
      <c r="H227" s="4">
        <v>6.5</v>
      </c>
    </row>
    <row r="228" spans="1:8" x14ac:dyDescent="0.25">
      <c r="A228" s="2">
        <v>44789</v>
      </c>
      <c r="B228" s="4">
        <v>3</v>
      </c>
      <c r="C228" s="4">
        <v>40</v>
      </c>
      <c r="D228" s="4">
        <v>47.95</v>
      </c>
      <c r="E228" s="4" t="s">
        <v>92</v>
      </c>
      <c r="F228" s="4">
        <v>18</v>
      </c>
      <c r="G228" s="4">
        <v>1</v>
      </c>
      <c r="H228" s="4">
        <v>3.8</v>
      </c>
    </row>
    <row r="229" spans="1:8" x14ac:dyDescent="0.25">
      <c r="A229" s="2">
        <v>44790</v>
      </c>
      <c r="B229" s="4">
        <v>3</v>
      </c>
      <c r="C229" s="4">
        <v>43</v>
      </c>
      <c r="D229" s="4">
        <v>14.63</v>
      </c>
      <c r="E229" s="4" t="s">
        <v>92</v>
      </c>
      <c r="F229" s="4">
        <v>18</v>
      </c>
      <c r="G229" s="4">
        <v>9</v>
      </c>
      <c r="H229" s="4">
        <v>51.9</v>
      </c>
    </row>
    <row r="230" spans="1:8" x14ac:dyDescent="0.25">
      <c r="A230" s="2">
        <v>44791</v>
      </c>
      <c r="B230" s="4">
        <v>3</v>
      </c>
      <c r="C230" s="4">
        <v>45</v>
      </c>
      <c r="D230" s="4">
        <v>40.700000000000003</v>
      </c>
      <c r="E230" s="4" t="s">
        <v>92</v>
      </c>
      <c r="F230" s="4">
        <v>18</v>
      </c>
      <c r="G230" s="4">
        <v>18</v>
      </c>
      <c r="H230" s="4">
        <v>30.8</v>
      </c>
    </row>
    <row r="231" spans="1:8" x14ac:dyDescent="0.25">
      <c r="A231" s="2">
        <v>44792</v>
      </c>
      <c r="B231" s="4">
        <v>3</v>
      </c>
      <c r="C231" s="4">
        <v>48</v>
      </c>
      <c r="D231" s="4">
        <v>6.14</v>
      </c>
      <c r="E231" s="4" t="s">
        <v>92</v>
      </c>
      <c r="F231" s="4">
        <v>18</v>
      </c>
      <c r="G231" s="4">
        <v>27</v>
      </c>
      <c r="H231" s="4">
        <v>0.3</v>
      </c>
    </row>
    <row r="232" spans="1:8" x14ac:dyDescent="0.25">
      <c r="A232" s="2">
        <v>44793</v>
      </c>
      <c r="B232" s="4">
        <v>3</v>
      </c>
      <c r="C232" s="4">
        <v>50</v>
      </c>
      <c r="D232" s="4">
        <v>30.93</v>
      </c>
      <c r="E232" s="4" t="s">
        <v>92</v>
      </c>
      <c r="F232" s="4">
        <v>18</v>
      </c>
      <c r="G232" s="4">
        <v>35</v>
      </c>
      <c r="H232" s="4">
        <v>20.6</v>
      </c>
    </row>
    <row r="233" spans="1:8" x14ac:dyDescent="0.25">
      <c r="A233" s="2">
        <v>44794</v>
      </c>
      <c r="B233" s="4">
        <v>3</v>
      </c>
      <c r="C233" s="4">
        <v>52</v>
      </c>
      <c r="D233" s="4">
        <v>55.03</v>
      </c>
      <c r="E233" s="4" t="s">
        <v>92</v>
      </c>
      <c r="F233" s="4">
        <v>18</v>
      </c>
      <c r="G233" s="4">
        <v>43</v>
      </c>
      <c r="H233" s="4">
        <v>31.6</v>
      </c>
    </row>
    <row r="234" spans="1:8" x14ac:dyDescent="0.25">
      <c r="A234" s="2">
        <v>44795</v>
      </c>
      <c r="B234" s="4">
        <v>3</v>
      </c>
      <c r="C234" s="4">
        <v>55</v>
      </c>
      <c r="D234" s="4">
        <v>18.420000000000002</v>
      </c>
      <c r="E234" s="4" t="s">
        <v>92</v>
      </c>
      <c r="F234" s="4">
        <v>18</v>
      </c>
      <c r="G234" s="4">
        <v>51</v>
      </c>
      <c r="H234" s="4">
        <v>33.299999999999997</v>
      </c>
    </row>
    <row r="235" spans="1:8" x14ac:dyDescent="0.25">
      <c r="A235" s="2">
        <v>44796</v>
      </c>
      <c r="B235" s="4">
        <v>3</v>
      </c>
      <c r="C235" s="4">
        <v>57</v>
      </c>
      <c r="D235" s="4">
        <v>41.08</v>
      </c>
      <c r="E235" s="4" t="s">
        <v>92</v>
      </c>
      <c r="F235" s="4">
        <v>18</v>
      </c>
      <c r="G235" s="4">
        <v>59</v>
      </c>
      <c r="H235" s="4">
        <v>25.9</v>
      </c>
    </row>
    <row r="236" spans="1:8" x14ac:dyDescent="0.25">
      <c r="A236" s="2">
        <v>44797</v>
      </c>
      <c r="B236" s="4">
        <v>4</v>
      </c>
      <c r="C236" s="4">
        <v>0</v>
      </c>
      <c r="D236" s="4">
        <v>2.98</v>
      </c>
      <c r="E236" s="4" t="s">
        <v>92</v>
      </c>
      <c r="F236" s="4">
        <v>19</v>
      </c>
      <c r="G236" s="4">
        <v>7</v>
      </c>
      <c r="H236" s="4">
        <v>9.3000000000000007</v>
      </c>
    </row>
    <row r="237" spans="1:8" x14ac:dyDescent="0.25">
      <c r="A237" s="2">
        <v>44798</v>
      </c>
      <c r="B237" s="4">
        <v>4</v>
      </c>
      <c r="C237" s="4">
        <v>2</v>
      </c>
      <c r="D237" s="4">
        <v>24.09</v>
      </c>
      <c r="E237" s="4" t="s">
        <v>92</v>
      </c>
      <c r="F237" s="4">
        <v>19</v>
      </c>
      <c r="G237" s="4">
        <v>14</v>
      </c>
      <c r="H237" s="4">
        <v>43.6</v>
      </c>
    </row>
    <row r="238" spans="1:8" x14ac:dyDescent="0.25">
      <c r="A238" s="2">
        <v>44799</v>
      </c>
      <c r="B238" s="4">
        <v>4</v>
      </c>
      <c r="C238" s="4">
        <v>4</v>
      </c>
      <c r="D238" s="4">
        <v>44.38</v>
      </c>
      <c r="E238" s="4" t="s">
        <v>92</v>
      </c>
      <c r="F238" s="4">
        <v>19</v>
      </c>
      <c r="G238" s="4">
        <v>22</v>
      </c>
      <c r="H238" s="4">
        <v>8.8000000000000007</v>
      </c>
    </row>
    <row r="239" spans="1:8" x14ac:dyDescent="0.25">
      <c r="A239" s="2">
        <v>44800</v>
      </c>
      <c r="B239" s="4">
        <v>4</v>
      </c>
      <c r="C239" s="4">
        <v>7</v>
      </c>
      <c r="D239" s="4">
        <v>3.82</v>
      </c>
      <c r="E239" s="4" t="s">
        <v>92</v>
      </c>
      <c r="F239" s="4">
        <v>19</v>
      </c>
      <c r="G239" s="4">
        <v>29</v>
      </c>
      <c r="H239" s="4">
        <v>25</v>
      </c>
    </row>
    <row r="240" spans="1:8" x14ac:dyDescent="0.25">
      <c r="A240" s="2">
        <v>44801</v>
      </c>
      <c r="B240" s="4">
        <v>4</v>
      </c>
      <c r="C240" s="4">
        <v>9</v>
      </c>
      <c r="D240" s="4">
        <v>22.4</v>
      </c>
      <c r="E240" s="4" t="s">
        <v>92</v>
      </c>
      <c r="F240" s="4">
        <v>19</v>
      </c>
      <c r="G240" s="4">
        <v>36</v>
      </c>
      <c r="H240" s="4">
        <v>32.299999999999997</v>
      </c>
    </row>
    <row r="241" spans="1:8" x14ac:dyDescent="0.25">
      <c r="A241" s="2">
        <v>44802</v>
      </c>
      <c r="B241" s="4">
        <v>4</v>
      </c>
      <c r="C241" s="4">
        <v>11</v>
      </c>
      <c r="D241" s="4">
        <v>40.08</v>
      </c>
      <c r="E241" s="4" t="s">
        <v>92</v>
      </c>
      <c r="F241" s="4">
        <v>19</v>
      </c>
      <c r="G241" s="4">
        <v>43</v>
      </c>
      <c r="H241" s="4">
        <v>30.7</v>
      </c>
    </row>
    <row r="242" spans="1:8" x14ac:dyDescent="0.25">
      <c r="A242" s="2">
        <v>44803</v>
      </c>
      <c r="B242" s="4">
        <v>4</v>
      </c>
      <c r="C242" s="4">
        <v>13</v>
      </c>
      <c r="D242" s="4">
        <v>56.83</v>
      </c>
      <c r="E242" s="4" t="s">
        <v>92</v>
      </c>
      <c r="F242" s="4">
        <v>19</v>
      </c>
      <c r="G242" s="4">
        <v>50</v>
      </c>
      <c r="H242" s="4">
        <v>20.3</v>
      </c>
    </row>
    <row r="243" spans="1:8" x14ac:dyDescent="0.25">
      <c r="A243" s="2">
        <v>44804</v>
      </c>
      <c r="B243" s="4">
        <v>4</v>
      </c>
      <c r="C243" s="4">
        <v>16</v>
      </c>
      <c r="D243" s="4">
        <v>12.63</v>
      </c>
      <c r="E243" s="4" t="s">
        <v>92</v>
      </c>
      <c r="F243" s="4">
        <v>19</v>
      </c>
      <c r="G243" s="4">
        <v>57</v>
      </c>
      <c r="H243" s="4">
        <v>1.2</v>
      </c>
    </row>
    <row r="244" spans="1:8" x14ac:dyDescent="0.25">
      <c r="A244" s="2" t="s">
        <v>154</v>
      </c>
      <c r="B244" s="4">
        <v>4</v>
      </c>
      <c r="C244" s="4">
        <v>18</v>
      </c>
      <c r="D244" s="4">
        <v>27.45</v>
      </c>
      <c r="E244" s="4" t="s">
        <v>92</v>
      </c>
      <c r="F244" s="4">
        <v>20</v>
      </c>
      <c r="G244" s="4">
        <v>3</v>
      </c>
      <c r="H244" s="4">
        <v>33.5</v>
      </c>
    </row>
    <row r="245" spans="1:8" x14ac:dyDescent="0.25">
      <c r="A245" s="2" t="s">
        <v>155</v>
      </c>
      <c r="B245" s="4">
        <v>4</v>
      </c>
      <c r="C245" s="4">
        <v>20</v>
      </c>
      <c r="D245" s="4">
        <v>41.27</v>
      </c>
      <c r="E245" s="4" t="s">
        <v>92</v>
      </c>
      <c r="F245" s="4">
        <v>20</v>
      </c>
      <c r="G245" s="4">
        <v>9</v>
      </c>
      <c r="H245" s="4">
        <v>57.4</v>
      </c>
    </row>
    <row r="246" spans="1:8" x14ac:dyDescent="0.25">
      <c r="A246" s="2" t="s">
        <v>156</v>
      </c>
      <c r="B246" s="4">
        <v>4</v>
      </c>
      <c r="C246" s="4">
        <v>22</v>
      </c>
      <c r="D246" s="4">
        <v>54.06</v>
      </c>
      <c r="E246" s="4" t="s">
        <v>92</v>
      </c>
      <c r="F246" s="4">
        <v>20</v>
      </c>
      <c r="G246" s="4">
        <v>16</v>
      </c>
      <c r="H246" s="4">
        <v>12.9</v>
      </c>
    </row>
    <row r="247" spans="1:8" x14ac:dyDescent="0.25">
      <c r="A247" s="2" t="s">
        <v>157</v>
      </c>
      <c r="B247" s="4">
        <v>4</v>
      </c>
      <c r="C247" s="4">
        <v>25</v>
      </c>
      <c r="D247" s="4">
        <v>5.8</v>
      </c>
      <c r="E247" s="4" t="s">
        <v>92</v>
      </c>
      <c r="F247" s="4">
        <v>20</v>
      </c>
      <c r="G247" s="4">
        <v>22</v>
      </c>
      <c r="H247" s="4">
        <v>20.100000000000001</v>
      </c>
    </row>
    <row r="248" spans="1:8" x14ac:dyDescent="0.25">
      <c r="A248" s="2" t="s">
        <v>158</v>
      </c>
      <c r="B248" s="4">
        <v>4</v>
      </c>
      <c r="C248" s="4">
        <v>27</v>
      </c>
      <c r="D248" s="4">
        <v>16.46</v>
      </c>
      <c r="E248" s="4" t="s">
        <v>92</v>
      </c>
      <c r="F248" s="4">
        <v>20</v>
      </c>
      <c r="G248" s="4">
        <v>28</v>
      </c>
      <c r="H248" s="4">
        <v>19.2</v>
      </c>
    </row>
    <row r="249" spans="1:8" x14ac:dyDescent="0.25">
      <c r="A249" s="2" t="s">
        <v>159</v>
      </c>
      <c r="B249" s="4">
        <v>4</v>
      </c>
      <c r="C249" s="4">
        <v>29</v>
      </c>
      <c r="D249" s="4">
        <v>26.01</v>
      </c>
      <c r="E249" s="4" t="s">
        <v>92</v>
      </c>
      <c r="F249" s="4">
        <v>20</v>
      </c>
      <c r="G249" s="4">
        <v>34</v>
      </c>
      <c r="H249" s="4">
        <v>10.4</v>
      </c>
    </row>
    <row r="250" spans="1:8" x14ac:dyDescent="0.25">
      <c r="A250" s="2" t="s">
        <v>160</v>
      </c>
      <c r="B250" s="4">
        <v>4</v>
      </c>
      <c r="C250" s="4">
        <v>31</v>
      </c>
      <c r="D250" s="4">
        <v>34.43</v>
      </c>
      <c r="E250" s="4" t="s">
        <v>92</v>
      </c>
      <c r="F250" s="4">
        <v>20</v>
      </c>
      <c r="G250" s="4">
        <v>39</v>
      </c>
      <c r="H250" s="4">
        <v>53.7</v>
      </c>
    </row>
    <row r="251" spans="1:8" x14ac:dyDescent="0.25">
      <c r="A251" s="2" t="s">
        <v>161</v>
      </c>
      <c r="B251" s="4">
        <v>4</v>
      </c>
      <c r="C251" s="4">
        <v>33</v>
      </c>
      <c r="D251" s="4">
        <v>41.7</v>
      </c>
      <c r="E251" s="4" t="s">
        <v>92</v>
      </c>
      <c r="F251" s="4">
        <v>20</v>
      </c>
      <c r="G251" s="4">
        <v>45</v>
      </c>
      <c r="H251" s="4">
        <v>29.2</v>
      </c>
    </row>
    <row r="252" spans="1:8" x14ac:dyDescent="0.25">
      <c r="A252" s="2" t="s">
        <v>162</v>
      </c>
      <c r="B252" s="4">
        <v>4</v>
      </c>
      <c r="C252" s="4">
        <v>35</v>
      </c>
      <c r="D252" s="4">
        <v>47.78</v>
      </c>
      <c r="E252" s="4" t="s">
        <v>92</v>
      </c>
      <c r="F252" s="4">
        <v>20</v>
      </c>
      <c r="G252" s="4">
        <v>50</v>
      </c>
      <c r="H252" s="4">
        <v>57.2</v>
      </c>
    </row>
    <row r="253" spans="1:8" x14ac:dyDescent="0.25">
      <c r="A253" s="2" t="s">
        <v>163</v>
      </c>
      <c r="B253" s="4">
        <v>4</v>
      </c>
      <c r="C253" s="4">
        <v>37</v>
      </c>
      <c r="D253" s="4">
        <v>52.64</v>
      </c>
      <c r="E253" s="4" t="s">
        <v>92</v>
      </c>
      <c r="F253" s="4">
        <v>20</v>
      </c>
      <c r="G253" s="4">
        <v>56</v>
      </c>
      <c r="H253" s="4">
        <v>17.7</v>
      </c>
    </row>
    <row r="254" spans="1:8" x14ac:dyDescent="0.25">
      <c r="A254" s="2" t="s">
        <v>164</v>
      </c>
      <c r="B254" s="4">
        <v>4</v>
      </c>
      <c r="C254" s="4">
        <v>39</v>
      </c>
      <c r="D254" s="4">
        <v>56.25</v>
      </c>
      <c r="E254" s="4" t="s">
        <v>92</v>
      </c>
      <c r="F254" s="4">
        <v>21</v>
      </c>
      <c r="G254" s="4">
        <v>1</v>
      </c>
      <c r="H254" s="4">
        <v>30.9</v>
      </c>
    </row>
    <row r="255" spans="1:8" x14ac:dyDescent="0.25">
      <c r="A255" s="2" t="s">
        <v>165</v>
      </c>
      <c r="B255" s="4">
        <v>4</v>
      </c>
      <c r="C255" s="4">
        <v>41</v>
      </c>
      <c r="D255" s="4">
        <v>58.57</v>
      </c>
      <c r="E255" s="4" t="s">
        <v>92</v>
      </c>
      <c r="F255" s="4">
        <v>21</v>
      </c>
      <c r="G255" s="4">
        <v>6</v>
      </c>
      <c r="H255" s="4">
        <v>36.9</v>
      </c>
    </row>
    <row r="256" spans="1:8" x14ac:dyDescent="0.25">
      <c r="A256" s="2" t="s">
        <v>166</v>
      </c>
      <c r="B256" s="4">
        <v>4</v>
      </c>
      <c r="C256" s="4">
        <v>43</v>
      </c>
      <c r="D256" s="4">
        <v>59.57</v>
      </c>
      <c r="E256" s="4" t="s">
        <v>92</v>
      </c>
      <c r="F256" s="4">
        <v>21</v>
      </c>
      <c r="G256" s="4">
        <v>11</v>
      </c>
      <c r="H256" s="4">
        <v>35.799999999999997</v>
      </c>
    </row>
    <row r="257" spans="1:8" x14ac:dyDescent="0.25">
      <c r="A257" s="2" t="s">
        <v>167</v>
      </c>
      <c r="B257" s="4">
        <v>4</v>
      </c>
      <c r="C257" s="4">
        <v>45</v>
      </c>
      <c r="D257" s="4">
        <v>59.2</v>
      </c>
      <c r="E257" s="4" t="s">
        <v>92</v>
      </c>
      <c r="F257" s="4">
        <v>21</v>
      </c>
      <c r="G257" s="4">
        <v>16</v>
      </c>
      <c r="H257" s="4">
        <v>27.7</v>
      </c>
    </row>
    <row r="258" spans="1:8" x14ac:dyDescent="0.25">
      <c r="A258" s="2" t="s">
        <v>168</v>
      </c>
      <c r="B258" s="4">
        <v>4</v>
      </c>
      <c r="C258" s="4">
        <v>47</v>
      </c>
      <c r="D258" s="4">
        <v>57.42</v>
      </c>
      <c r="E258" s="4" t="s">
        <v>92</v>
      </c>
      <c r="F258" s="4">
        <v>21</v>
      </c>
      <c r="G258" s="4">
        <v>21</v>
      </c>
      <c r="H258" s="4">
        <v>12.8</v>
      </c>
    </row>
    <row r="259" spans="1:8" x14ac:dyDescent="0.25">
      <c r="A259" s="2" t="s">
        <v>169</v>
      </c>
      <c r="B259" s="4">
        <v>4</v>
      </c>
      <c r="C259" s="4">
        <v>49</v>
      </c>
      <c r="D259" s="4">
        <v>54.2</v>
      </c>
      <c r="E259" s="4" t="s">
        <v>92</v>
      </c>
      <c r="F259" s="4">
        <v>21</v>
      </c>
      <c r="G259" s="4">
        <v>25</v>
      </c>
      <c r="H259" s="4">
        <v>51.3</v>
      </c>
    </row>
    <row r="260" spans="1:8" x14ac:dyDescent="0.25">
      <c r="A260" s="2" t="s">
        <v>170</v>
      </c>
      <c r="B260" s="4">
        <v>4</v>
      </c>
      <c r="C260" s="4">
        <v>51</v>
      </c>
      <c r="D260" s="4">
        <v>49.48</v>
      </c>
      <c r="E260" s="4" t="s">
        <v>92</v>
      </c>
      <c r="F260" s="4">
        <v>21</v>
      </c>
      <c r="G260" s="4">
        <v>30</v>
      </c>
      <c r="H260" s="4">
        <v>23.2</v>
      </c>
    </row>
    <row r="261" spans="1:8" x14ac:dyDescent="0.25">
      <c r="A261" s="2" t="s">
        <v>171</v>
      </c>
      <c r="B261" s="4">
        <v>4</v>
      </c>
      <c r="C261" s="4">
        <v>53</v>
      </c>
      <c r="D261" s="4">
        <v>43.22</v>
      </c>
      <c r="E261" s="4" t="s">
        <v>92</v>
      </c>
      <c r="F261" s="4">
        <v>21</v>
      </c>
      <c r="G261" s="4">
        <v>34</v>
      </c>
      <c r="H261" s="4">
        <v>48.7</v>
      </c>
    </row>
    <row r="262" spans="1:8" x14ac:dyDescent="0.25">
      <c r="A262" s="2" t="s">
        <v>172</v>
      </c>
      <c r="B262" s="4">
        <v>4</v>
      </c>
      <c r="C262" s="4">
        <v>55</v>
      </c>
      <c r="D262" s="4">
        <v>35.380000000000003</v>
      </c>
      <c r="E262" s="4" t="s">
        <v>92</v>
      </c>
      <c r="F262" s="4">
        <v>21</v>
      </c>
      <c r="G262" s="4">
        <v>39</v>
      </c>
      <c r="H262" s="4">
        <v>8</v>
      </c>
    </row>
    <row r="263" spans="1:8" x14ac:dyDescent="0.25">
      <c r="A263" s="2" t="s">
        <v>173</v>
      </c>
      <c r="B263" s="4">
        <v>4</v>
      </c>
      <c r="C263" s="4">
        <v>57</v>
      </c>
      <c r="D263" s="4">
        <v>25.91</v>
      </c>
      <c r="E263" s="4" t="s">
        <v>92</v>
      </c>
      <c r="F263" s="4">
        <v>21</v>
      </c>
      <c r="G263" s="4">
        <v>43</v>
      </c>
      <c r="H263" s="4">
        <v>21.2</v>
      </c>
    </row>
    <row r="264" spans="1:8" x14ac:dyDescent="0.25">
      <c r="A264" s="2" t="s">
        <v>174</v>
      </c>
      <c r="B264" s="4">
        <v>4</v>
      </c>
      <c r="C264" s="4">
        <v>59</v>
      </c>
      <c r="D264" s="4">
        <v>14.77</v>
      </c>
      <c r="E264" s="4" t="s">
        <v>92</v>
      </c>
      <c r="F264" s="4">
        <v>21</v>
      </c>
      <c r="G264" s="4">
        <v>47</v>
      </c>
      <c r="H264" s="4">
        <v>28.5</v>
      </c>
    </row>
    <row r="265" spans="1:8" x14ac:dyDescent="0.25">
      <c r="A265" s="2" t="s">
        <v>175</v>
      </c>
      <c r="B265" s="4">
        <v>5</v>
      </c>
      <c r="C265" s="4">
        <v>1</v>
      </c>
      <c r="D265" s="4">
        <v>1.9</v>
      </c>
      <c r="E265" s="4" t="s">
        <v>92</v>
      </c>
      <c r="F265" s="4">
        <v>21</v>
      </c>
      <c r="G265" s="4">
        <v>51</v>
      </c>
      <c r="H265" s="4">
        <v>30.1</v>
      </c>
    </row>
    <row r="266" spans="1:8" x14ac:dyDescent="0.25">
      <c r="A266" s="2" t="s">
        <v>176</v>
      </c>
      <c r="B266" s="4">
        <v>5</v>
      </c>
      <c r="C266" s="4">
        <v>2</v>
      </c>
      <c r="D266" s="4">
        <v>47.26</v>
      </c>
      <c r="E266" s="4" t="s">
        <v>92</v>
      </c>
      <c r="F266" s="4">
        <v>21</v>
      </c>
      <c r="G266" s="4">
        <v>55</v>
      </c>
      <c r="H266" s="4">
        <v>26.2</v>
      </c>
    </row>
    <row r="267" spans="1:8" x14ac:dyDescent="0.25">
      <c r="A267" s="2" t="s">
        <v>177</v>
      </c>
      <c r="B267" s="4">
        <v>5</v>
      </c>
      <c r="C267" s="4">
        <v>4</v>
      </c>
      <c r="D267" s="4">
        <v>30.81</v>
      </c>
      <c r="E267" s="4" t="s">
        <v>92</v>
      </c>
      <c r="F267" s="4">
        <v>21</v>
      </c>
      <c r="G267" s="4">
        <v>59</v>
      </c>
      <c r="H267" s="4">
        <v>16.899999999999999</v>
      </c>
    </row>
    <row r="268" spans="1:8" x14ac:dyDescent="0.25">
      <c r="A268" s="2" t="s">
        <v>178</v>
      </c>
      <c r="B268" s="4">
        <v>5</v>
      </c>
      <c r="C268" s="4">
        <v>6</v>
      </c>
      <c r="D268" s="4">
        <v>12.49</v>
      </c>
      <c r="E268" s="4" t="s">
        <v>92</v>
      </c>
      <c r="F268" s="4">
        <v>22</v>
      </c>
      <c r="G268" s="4">
        <v>3</v>
      </c>
      <c r="H268" s="4">
        <v>2.4</v>
      </c>
    </row>
    <row r="269" spans="1:8" x14ac:dyDescent="0.25">
      <c r="A269" s="2" t="s">
        <v>179</v>
      </c>
      <c r="B269" s="4">
        <v>5</v>
      </c>
      <c r="C269" s="4">
        <v>7</v>
      </c>
      <c r="D269" s="4">
        <v>52.26</v>
      </c>
      <c r="E269" s="4" t="s">
        <v>92</v>
      </c>
      <c r="F269" s="4">
        <v>22</v>
      </c>
      <c r="G269" s="4">
        <v>6</v>
      </c>
      <c r="H269" s="4">
        <v>42.9</v>
      </c>
    </row>
    <row r="270" spans="1:8" x14ac:dyDescent="0.25">
      <c r="A270" s="2" t="s">
        <v>180</v>
      </c>
      <c r="B270" s="4">
        <v>5</v>
      </c>
      <c r="C270" s="4">
        <v>9</v>
      </c>
      <c r="D270" s="4">
        <v>30.06</v>
      </c>
      <c r="E270" s="4" t="s">
        <v>92</v>
      </c>
      <c r="F270" s="4">
        <v>22</v>
      </c>
      <c r="G270" s="4">
        <v>10</v>
      </c>
      <c r="H270" s="4">
        <v>18.7</v>
      </c>
    </row>
    <row r="271" spans="1:8" x14ac:dyDescent="0.25">
      <c r="A271" s="2" t="s">
        <v>181</v>
      </c>
      <c r="B271" s="4">
        <v>5</v>
      </c>
      <c r="C271" s="4">
        <v>11</v>
      </c>
      <c r="D271" s="4">
        <v>5.86</v>
      </c>
      <c r="E271" s="4" t="s">
        <v>92</v>
      </c>
      <c r="F271" s="4">
        <v>22</v>
      </c>
      <c r="G271" s="4">
        <v>13</v>
      </c>
      <c r="H271" s="4">
        <v>50</v>
      </c>
    </row>
    <row r="272" spans="1:8" x14ac:dyDescent="0.25">
      <c r="A272" s="2" t="s">
        <v>182</v>
      </c>
      <c r="B272" s="4">
        <v>5</v>
      </c>
      <c r="C272" s="4">
        <v>12</v>
      </c>
      <c r="D272" s="4">
        <v>39.61</v>
      </c>
      <c r="E272" s="4" t="s">
        <v>92</v>
      </c>
      <c r="F272" s="4">
        <v>22</v>
      </c>
      <c r="G272" s="4">
        <v>17</v>
      </c>
      <c r="H272" s="4">
        <v>16.8</v>
      </c>
    </row>
    <row r="273" spans="1:8" x14ac:dyDescent="0.25">
      <c r="A273" s="2" t="s">
        <v>183</v>
      </c>
      <c r="B273" s="4">
        <v>5</v>
      </c>
      <c r="C273" s="4">
        <v>14</v>
      </c>
      <c r="D273" s="4">
        <v>11.25</v>
      </c>
      <c r="E273" s="4" t="s">
        <v>92</v>
      </c>
      <c r="F273" s="4">
        <v>22</v>
      </c>
      <c r="G273" s="4">
        <v>20</v>
      </c>
      <c r="H273" s="4">
        <v>39.6</v>
      </c>
    </row>
    <row r="274" spans="1:8" x14ac:dyDescent="0.25">
      <c r="A274" s="2" t="s">
        <v>184</v>
      </c>
      <c r="B274" s="4">
        <v>5</v>
      </c>
      <c r="C274" s="4">
        <v>15</v>
      </c>
      <c r="D274" s="4">
        <v>40.76</v>
      </c>
      <c r="E274" s="4" t="s">
        <v>92</v>
      </c>
      <c r="F274" s="4">
        <v>22</v>
      </c>
      <c r="G274" s="4">
        <v>23</v>
      </c>
      <c r="H274" s="4">
        <v>58.5</v>
      </c>
    </row>
    <row r="275" spans="1:8" x14ac:dyDescent="0.25">
      <c r="A275" s="2" t="s">
        <v>185</v>
      </c>
      <c r="B275" s="4">
        <v>5</v>
      </c>
      <c r="C275" s="4">
        <v>17</v>
      </c>
      <c r="D275" s="4">
        <v>8.07</v>
      </c>
      <c r="E275" s="4" t="s">
        <v>92</v>
      </c>
      <c r="F275" s="4">
        <v>22</v>
      </c>
      <c r="G275" s="4">
        <v>27</v>
      </c>
      <c r="H275" s="4">
        <v>13.6</v>
      </c>
    </row>
    <row r="276" spans="1:8" x14ac:dyDescent="0.25">
      <c r="A276" s="2" t="s">
        <v>186</v>
      </c>
      <c r="B276" s="4">
        <v>5</v>
      </c>
      <c r="C276" s="4">
        <v>18</v>
      </c>
      <c r="D276" s="4">
        <v>33.15</v>
      </c>
      <c r="E276" s="4" t="s">
        <v>92</v>
      </c>
      <c r="F276" s="4">
        <v>22</v>
      </c>
      <c r="G276" s="4">
        <v>30</v>
      </c>
      <c r="H276" s="4">
        <v>25.3</v>
      </c>
    </row>
    <row r="277" spans="1:8" x14ac:dyDescent="0.25">
      <c r="A277" s="2" t="s">
        <v>187</v>
      </c>
      <c r="B277" s="4">
        <v>5</v>
      </c>
      <c r="C277" s="4">
        <v>19</v>
      </c>
      <c r="D277" s="4">
        <v>55.96</v>
      </c>
      <c r="E277" s="4" t="s">
        <v>92</v>
      </c>
      <c r="F277" s="4">
        <v>22</v>
      </c>
      <c r="G277" s="4">
        <v>33</v>
      </c>
      <c r="H277" s="4">
        <v>33.799999999999997</v>
      </c>
    </row>
    <row r="278" spans="1:8" x14ac:dyDescent="0.25">
      <c r="A278" s="2" t="s">
        <v>188</v>
      </c>
      <c r="B278" s="4">
        <v>5</v>
      </c>
      <c r="C278" s="4">
        <v>21</v>
      </c>
      <c r="D278" s="4">
        <v>16.440000000000001</v>
      </c>
      <c r="E278" s="4" t="s">
        <v>92</v>
      </c>
      <c r="F278" s="4">
        <v>22</v>
      </c>
      <c r="G278" s="4">
        <v>36</v>
      </c>
      <c r="H278" s="4">
        <v>39.299999999999997</v>
      </c>
    </row>
    <row r="279" spans="1:8" x14ac:dyDescent="0.25">
      <c r="A279" s="2" t="s">
        <v>189</v>
      </c>
      <c r="B279" s="4">
        <v>5</v>
      </c>
      <c r="C279" s="4">
        <v>22</v>
      </c>
      <c r="D279" s="4">
        <v>34.549999999999997</v>
      </c>
      <c r="E279" s="4" t="s">
        <v>92</v>
      </c>
      <c r="F279" s="4">
        <v>22</v>
      </c>
      <c r="G279" s="4">
        <v>39</v>
      </c>
      <c r="H279" s="4">
        <v>41.9</v>
      </c>
    </row>
    <row r="280" spans="1:8" x14ac:dyDescent="0.25">
      <c r="A280" s="2" t="s">
        <v>190</v>
      </c>
      <c r="B280" s="4">
        <v>5</v>
      </c>
      <c r="C280" s="4">
        <v>23</v>
      </c>
      <c r="D280" s="4">
        <v>50.24</v>
      </c>
      <c r="E280" s="4" t="s">
        <v>92</v>
      </c>
      <c r="F280" s="4">
        <v>22</v>
      </c>
      <c r="G280" s="4">
        <v>42</v>
      </c>
      <c r="H280" s="4">
        <v>41.9</v>
      </c>
    </row>
    <row r="281" spans="1:8" x14ac:dyDescent="0.25">
      <c r="A281" s="2" t="s">
        <v>191</v>
      </c>
      <c r="B281" s="4">
        <v>5</v>
      </c>
      <c r="C281" s="4">
        <v>25</v>
      </c>
      <c r="D281" s="4">
        <v>3.46</v>
      </c>
      <c r="E281" s="4" t="s">
        <v>92</v>
      </c>
      <c r="F281" s="4">
        <v>22</v>
      </c>
      <c r="G281" s="4">
        <v>45</v>
      </c>
      <c r="H281" s="4">
        <v>39.6</v>
      </c>
    </row>
    <row r="282" spans="1:8" x14ac:dyDescent="0.25">
      <c r="A282" s="2" t="s">
        <v>192</v>
      </c>
      <c r="B282" s="4">
        <v>5</v>
      </c>
      <c r="C282" s="4">
        <v>26</v>
      </c>
      <c r="D282" s="4">
        <v>14.15</v>
      </c>
      <c r="E282" s="4" t="s">
        <v>92</v>
      </c>
      <c r="F282" s="4">
        <v>22</v>
      </c>
      <c r="G282" s="4">
        <v>48</v>
      </c>
      <c r="H282" s="4">
        <v>35</v>
      </c>
    </row>
    <row r="283" spans="1:8" x14ac:dyDescent="0.25">
      <c r="A283" s="2" t="s">
        <v>193</v>
      </c>
      <c r="B283" s="4">
        <v>5</v>
      </c>
      <c r="C283" s="4">
        <v>27</v>
      </c>
      <c r="D283" s="4">
        <v>22.26</v>
      </c>
      <c r="E283" s="4" t="s">
        <v>92</v>
      </c>
      <c r="F283" s="4">
        <v>22</v>
      </c>
      <c r="G283" s="4">
        <v>51</v>
      </c>
      <c r="H283" s="4">
        <v>28.4</v>
      </c>
    </row>
    <row r="284" spans="1:8" x14ac:dyDescent="0.25">
      <c r="A284" s="2" t="s">
        <v>194</v>
      </c>
      <c r="B284" s="4">
        <v>5</v>
      </c>
      <c r="C284" s="4">
        <v>28</v>
      </c>
      <c r="D284" s="4">
        <v>27.72</v>
      </c>
      <c r="E284" s="4" t="s">
        <v>92</v>
      </c>
      <c r="F284" s="4">
        <v>22</v>
      </c>
      <c r="G284" s="4">
        <v>54</v>
      </c>
      <c r="H284" s="4">
        <v>19.899999999999999</v>
      </c>
    </row>
    <row r="285" spans="1:8" x14ac:dyDescent="0.25">
      <c r="A285" s="2" t="s">
        <v>195</v>
      </c>
      <c r="B285" s="4">
        <v>5</v>
      </c>
      <c r="C285" s="4">
        <v>29</v>
      </c>
      <c r="D285" s="4">
        <v>30.47</v>
      </c>
      <c r="E285" s="4" t="s">
        <v>92</v>
      </c>
      <c r="F285" s="4">
        <v>22</v>
      </c>
      <c r="G285" s="4">
        <v>57</v>
      </c>
      <c r="H285" s="4">
        <v>9.8000000000000007</v>
      </c>
    </row>
    <row r="286" spans="1:8" x14ac:dyDescent="0.25">
      <c r="A286" s="2" t="s">
        <v>196</v>
      </c>
      <c r="B286" s="4">
        <v>5</v>
      </c>
      <c r="C286" s="4">
        <v>30</v>
      </c>
      <c r="D286" s="4">
        <v>30.46</v>
      </c>
      <c r="E286" s="4" t="s">
        <v>92</v>
      </c>
      <c r="F286" s="4">
        <v>22</v>
      </c>
      <c r="G286" s="4">
        <v>59</v>
      </c>
      <c r="H286" s="4">
        <v>58.2</v>
      </c>
    </row>
    <row r="287" spans="1:8" x14ac:dyDescent="0.25">
      <c r="A287" s="2" t="s">
        <v>197</v>
      </c>
      <c r="B287" s="4">
        <v>5</v>
      </c>
      <c r="C287" s="4">
        <v>31</v>
      </c>
      <c r="D287" s="4">
        <v>27.61</v>
      </c>
      <c r="E287" s="4" t="s">
        <v>92</v>
      </c>
      <c r="F287" s="4">
        <v>23</v>
      </c>
      <c r="G287" s="4">
        <v>2</v>
      </c>
      <c r="H287" s="4">
        <v>45.3</v>
      </c>
    </row>
    <row r="288" spans="1:8" x14ac:dyDescent="0.25">
      <c r="A288" s="2" t="s">
        <v>198</v>
      </c>
      <c r="B288" s="4">
        <v>5</v>
      </c>
      <c r="C288" s="4">
        <v>32</v>
      </c>
      <c r="D288" s="4">
        <v>21.87</v>
      </c>
      <c r="E288" s="4" t="s">
        <v>92</v>
      </c>
      <c r="F288" s="4">
        <v>23</v>
      </c>
      <c r="G288" s="4">
        <v>5</v>
      </c>
      <c r="H288" s="4">
        <v>31.2</v>
      </c>
    </row>
    <row r="289" spans="1:8" x14ac:dyDescent="0.25">
      <c r="A289" s="2" t="s">
        <v>199</v>
      </c>
      <c r="B289" s="4">
        <v>5</v>
      </c>
      <c r="C289" s="4">
        <v>33</v>
      </c>
      <c r="D289" s="4">
        <v>13.16</v>
      </c>
      <c r="E289" s="4" t="s">
        <v>92</v>
      </c>
      <c r="F289" s="4">
        <v>23</v>
      </c>
      <c r="G289" s="4">
        <v>8</v>
      </c>
      <c r="H289" s="4">
        <v>16.2</v>
      </c>
    </row>
    <row r="290" spans="1:8" x14ac:dyDescent="0.25">
      <c r="A290" s="2" t="s">
        <v>200</v>
      </c>
      <c r="B290" s="4">
        <v>5</v>
      </c>
      <c r="C290" s="4">
        <v>34</v>
      </c>
      <c r="D290" s="4">
        <v>1.42</v>
      </c>
      <c r="E290" s="4" t="s">
        <v>92</v>
      </c>
      <c r="F290" s="4">
        <v>23</v>
      </c>
      <c r="G290" s="4">
        <v>11</v>
      </c>
      <c r="H290" s="4">
        <v>0.3</v>
      </c>
    </row>
    <row r="291" spans="1:8" x14ac:dyDescent="0.25">
      <c r="A291" s="2" t="s">
        <v>201</v>
      </c>
      <c r="B291" s="4">
        <v>5</v>
      </c>
      <c r="C291" s="4">
        <v>34</v>
      </c>
      <c r="D291" s="4">
        <v>46.59</v>
      </c>
      <c r="E291" s="4" t="s">
        <v>92</v>
      </c>
      <c r="F291" s="4">
        <v>23</v>
      </c>
      <c r="G291" s="4">
        <v>13</v>
      </c>
      <c r="H291" s="4">
        <v>43.7</v>
      </c>
    </row>
    <row r="292" spans="1:8" x14ac:dyDescent="0.25">
      <c r="A292" s="2" t="s">
        <v>202</v>
      </c>
      <c r="B292" s="4">
        <v>5</v>
      </c>
      <c r="C292" s="4">
        <v>35</v>
      </c>
      <c r="D292" s="4">
        <v>28.6</v>
      </c>
      <c r="E292" s="4" t="s">
        <v>92</v>
      </c>
      <c r="F292" s="4">
        <v>23</v>
      </c>
      <c r="G292" s="4">
        <v>16</v>
      </c>
      <c r="H292" s="4">
        <v>26.5</v>
      </c>
    </row>
    <row r="293" spans="1:8" x14ac:dyDescent="0.25">
      <c r="A293" s="2" t="s">
        <v>203</v>
      </c>
      <c r="B293" s="4">
        <v>5</v>
      </c>
      <c r="C293" s="4">
        <v>36</v>
      </c>
      <c r="D293" s="4">
        <v>7.38</v>
      </c>
      <c r="E293" s="4" t="s">
        <v>92</v>
      </c>
      <c r="F293" s="4">
        <v>23</v>
      </c>
      <c r="G293" s="4">
        <v>19</v>
      </c>
      <c r="H293" s="4">
        <v>9</v>
      </c>
    </row>
    <row r="294" spans="1:8" x14ac:dyDescent="0.25">
      <c r="A294" s="2" t="s">
        <v>204</v>
      </c>
      <c r="B294" s="4">
        <v>5</v>
      </c>
      <c r="C294" s="4">
        <v>36</v>
      </c>
      <c r="D294" s="4">
        <v>42.88</v>
      </c>
      <c r="E294" s="4" t="s">
        <v>92</v>
      </c>
      <c r="F294" s="4">
        <v>23</v>
      </c>
      <c r="G294" s="4">
        <v>21</v>
      </c>
      <c r="H294" s="4">
        <v>51.1</v>
      </c>
    </row>
    <row r="295" spans="1:8" x14ac:dyDescent="0.25">
      <c r="A295" s="2" t="s">
        <v>205</v>
      </c>
      <c r="B295" s="4">
        <v>5</v>
      </c>
      <c r="C295" s="4">
        <v>37</v>
      </c>
      <c r="D295" s="4">
        <v>15.03</v>
      </c>
      <c r="E295" s="4" t="s">
        <v>92</v>
      </c>
      <c r="F295" s="4">
        <v>23</v>
      </c>
      <c r="G295" s="4">
        <v>24</v>
      </c>
      <c r="H295" s="4">
        <v>33.1</v>
      </c>
    </row>
    <row r="296" spans="1:8" x14ac:dyDescent="0.25">
      <c r="A296" s="2" t="s">
        <v>206</v>
      </c>
      <c r="B296" s="4">
        <v>5</v>
      </c>
      <c r="C296" s="4">
        <v>37</v>
      </c>
      <c r="D296" s="4">
        <v>43.78</v>
      </c>
      <c r="E296" s="4" t="s">
        <v>92</v>
      </c>
      <c r="F296" s="4">
        <v>23</v>
      </c>
      <c r="G296" s="4">
        <v>27</v>
      </c>
      <c r="H296" s="4">
        <v>15</v>
      </c>
    </row>
    <row r="297" spans="1:8" x14ac:dyDescent="0.25">
      <c r="A297" s="2" t="s">
        <v>207</v>
      </c>
      <c r="B297" s="4">
        <v>5</v>
      </c>
      <c r="C297" s="4">
        <v>38</v>
      </c>
      <c r="D297" s="4">
        <v>9.06</v>
      </c>
      <c r="E297" s="4" t="s">
        <v>92</v>
      </c>
      <c r="F297" s="4">
        <v>23</v>
      </c>
      <c r="G297" s="4">
        <v>29</v>
      </c>
      <c r="H297" s="4">
        <v>56.9</v>
      </c>
    </row>
    <row r="298" spans="1:8" x14ac:dyDescent="0.25">
      <c r="A298" s="2" t="s">
        <v>208</v>
      </c>
      <c r="B298" s="4">
        <v>5</v>
      </c>
      <c r="C298" s="4">
        <v>38</v>
      </c>
      <c r="D298" s="4">
        <v>30.82</v>
      </c>
      <c r="E298" s="4" t="s">
        <v>92</v>
      </c>
      <c r="F298" s="4">
        <v>23</v>
      </c>
      <c r="G298" s="4">
        <v>32</v>
      </c>
      <c r="H298" s="4">
        <v>38.9</v>
      </c>
    </row>
    <row r="299" spans="1:8" x14ac:dyDescent="0.25">
      <c r="A299" s="2" t="s">
        <v>209</v>
      </c>
      <c r="B299" s="4">
        <v>5</v>
      </c>
      <c r="C299" s="4">
        <v>38</v>
      </c>
      <c r="D299" s="4">
        <v>49.02</v>
      </c>
      <c r="E299" s="4" t="s">
        <v>92</v>
      </c>
      <c r="F299" s="4">
        <v>23</v>
      </c>
      <c r="G299" s="4">
        <v>35</v>
      </c>
      <c r="H299" s="4">
        <v>21</v>
      </c>
    </row>
    <row r="300" spans="1:8" x14ac:dyDescent="0.25">
      <c r="A300" s="2" t="s">
        <v>210</v>
      </c>
      <c r="B300" s="4">
        <v>5</v>
      </c>
      <c r="C300" s="4">
        <v>39</v>
      </c>
      <c r="D300" s="4">
        <v>3.6</v>
      </c>
      <c r="E300" s="4" t="s">
        <v>92</v>
      </c>
      <c r="F300" s="4">
        <v>23</v>
      </c>
      <c r="G300" s="4">
        <v>38</v>
      </c>
      <c r="H300" s="4">
        <v>3.4</v>
      </c>
    </row>
    <row r="301" spans="1:8" x14ac:dyDescent="0.25">
      <c r="A301" s="2" t="s">
        <v>211</v>
      </c>
      <c r="B301" s="4">
        <v>5</v>
      </c>
      <c r="C301" s="4">
        <v>39</v>
      </c>
      <c r="D301" s="4">
        <v>14.53</v>
      </c>
      <c r="E301" s="4" t="s">
        <v>92</v>
      </c>
      <c r="F301" s="4">
        <v>23</v>
      </c>
      <c r="G301" s="4">
        <v>40</v>
      </c>
      <c r="H301" s="4">
        <v>46</v>
      </c>
    </row>
    <row r="302" spans="1:8" x14ac:dyDescent="0.25">
      <c r="A302" s="2" t="s">
        <v>212</v>
      </c>
      <c r="B302" s="4">
        <v>5</v>
      </c>
      <c r="C302" s="4">
        <v>39</v>
      </c>
      <c r="D302" s="4">
        <v>21.76</v>
      </c>
      <c r="E302" s="4" t="s">
        <v>92</v>
      </c>
      <c r="F302" s="4">
        <v>23</v>
      </c>
      <c r="G302" s="4">
        <v>43</v>
      </c>
      <c r="H302" s="4">
        <v>28.9</v>
      </c>
    </row>
    <row r="303" spans="1:8" x14ac:dyDescent="0.25">
      <c r="A303" s="2" t="s">
        <v>213</v>
      </c>
      <c r="B303" s="4">
        <v>5</v>
      </c>
      <c r="C303" s="4">
        <v>39</v>
      </c>
      <c r="D303" s="4">
        <v>25.27</v>
      </c>
      <c r="E303" s="4" t="s">
        <v>92</v>
      </c>
      <c r="F303" s="4">
        <v>23</v>
      </c>
      <c r="G303" s="4">
        <v>46</v>
      </c>
      <c r="H303" s="4">
        <v>12</v>
      </c>
    </row>
    <row r="304" spans="1:8" x14ac:dyDescent="0.25">
      <c r="A304" s="2" t="s">
        <v>214</v>
      </c>
      <c r="B304" s="4">
        <v>5</v>
      </c>
      <c r="C304" s="4">
        <v>39</v>
      </c>
      <c r="D304" s="4">
        <v>25.03</v>
      </c>
      <c r="E304" s="4" t="s">
        <v>92</v>
      </c>
      <c r="F304" s="4">
        <v>23</v>
      </c>
      <c r="G304" s="4">
        <v>48</v>
      </c>
      <c r="H304" s="4">
        <v>55.4</v>
      </c>
    </row>
    <row r="305" spans="1:8" x14ac:dyDescent="0.25">
      <c r="A305" s="2">
        <v>44866</v>
      </c>
      <c r="B305" s="4">
        <v>5</v>
      </c>
      <c r="C305" s="4">
        <v>39</v>
      </c>
      <c r="D305" s="4">
        <v>21.01</v>
      </c>
      <c r="E305" s="4" t="s">
        <v>92</v>
      </c>
      <c r="F305" s="4">
        <v>23</v>
      </c>
      <c r="G305" s="4">
        <v>51</v>
      </c>
      <c r="H305" s="4">
        <v>39</v>
      </c>
    </row>
    <row r="306" spans="1:8" x14ac:dyDescent="0.25">
      <c r="A306" s="2">
        <v>44867</v>
      </c>
      <c r="B306" s="4">
        <v>5</v>
      </c>
      <c r="C306" s="4">
        <v>39</v>
      </c>
      <c r="D306" s="4">
        <v>13.19</v>
      </c>
      <c r="E306" s="4" t="s">
        <v>92</v>
      </c>
      <c r="F306" s="4">
        <v>23</v>
      </c>
      <c r="G306" s="4">
        <v>54</v>
      </c>
      <c r="H306" s="4">
        <v>22.7</v>
      </c>
    </row>
    <row r="307" spans="1:8" x14ac:dyDescent="0.25">
      <c r="A307" s="2">
        <v>44868</v>
      </c>
      <c r="B307" s="4">
        <v>5</v>
      </c>
      <c r="C307" s="4">
        <v>39</v>
      </c>
      <c r="D307" s="4">
        <v>1.55</v>
      </c>
      <c r="E307" s="4" t="s">
        <v>92</v>
      </c>
      <c r="F307" s="4">
        <v>23</v>
      </c>
      <c r="G307" s="4">
        <v>57</v>
      </c>
      <c r="H307" s="4">
        <v>6.4</v>
      </c>
    </row>
    <row r="308" spans="1:8" x14ac:dyDescent="0.25">
      <c r="A308" s="2">
        <v>44869</v>
      </c>
      <c r="B308" s="4">
        <v>5</v>
      </c>
      <c r="C308" s="4">
        <v>38</v>
      </c>
      <c r="D308" s="4">
        <v>46.08</v>
      </c>
      <c r="E308" s="4" t="s">
        <v>92</v>
      </c>
      <c r="F308" s="4">
        <v>23</v>
      </c>
      <c r="G308" s="4">
        <v>59</v>
      </c>
      <c r="H308" s="4">
        <v>50.1</v>
      </c>
    </row>
    <row r="309" spans="1:8" x14ac:dyDescent="0.25">
      <c r="A309" s="2">
        <v>44870</v>
      </c>
      <c r="B309" s="4">
        <v>5</v>
      </c>
      <c r="C309" s="4">
        <v>38</v>
      </c>
      <c r="D309" s="4">
        <v>26.75</v>
      </c>
      <c r="E309" s="4" t="s">
        <v>92</v>
      </c>
      <c r="F309" s="4">
        <v>24</v>
      </c>
      <c r="G309" s="4">
        <v>2</v>
      </c>
      <c r="H309" s="4">
        <v>33.4</v>
      </c>
    </row>
    <row r="310" spans="1:8" x14ac:dyDescent="0.25">
      <c r="A310" s="2">
        <v>44871</v>
      </c>
      <c r="B310" s="4">
        <v>5</v>
      </c>
      <c r="C310" s="4">
        <v>38</v>
      </c>
      <c r="D310" s="4">
        <v>3.57</v>
      </c>
      <c r="E310" s="4" t="s">
        <v>92</v>
      </c>
      <c r="F310" s="4">
        <v>24</v>
      </c>
      <c r="G310" s="4">
        <v>5</v>
      </c>
      <c r="H310" s="4">
        <v>16.3</v>
      </c>
    </row>
    <row r="311" spans="1:8" x14ac:dyDescent="0.25">
      <c r="A311" s="2">
        <v>44872</v>
      </c>
      <c r="B311" s="4">
        <v>5</v>
      </c>
      <c r="C311" s="4">
        <v>37</v>
      </c>
      <c r="D311" s="4">
        <v>36.520000000000003</v>
      </c>
      <c r="E311" s="4" t="s">
        <v>92</v>
      </c>
      <c r="F311" s="4">
        <v>24</v>
      </c>
      <c r="G311" s="4">
        <v>7</v>
      </c>
      <c r="H311" s="4">
        <v>58.6</v>
      </c>
    </row>
    <row r="312" spans="1:8" x14ac:dyDescent="0.25">
      <c r="A312" s="2">
        <v>44873</v>
      </c>
      <c r="B312" s="4">
        <v>5</v>
      </c>
      <c r="C312" s="4">
        <v>37</v>
      </c>
      <c r="D312" s="4">
        <v>5.59</v>
      </c>
      <c r="E312" s="4" t="s">
        <v>92</v>
      </c>
      <c r="F312" s="4">
        <v>24</v>
      </c>
      <c r="G312" s="4">
        <v>10</v>
      </c>
      <c r="H312" s="4">
        <v>40</v>
      </c>
    </row>
    <row r="313" spans="1:8" x14ac:dyDescent="0.25">
      <c r="A313" s="2">
        <v>44874</v>
      </c>
      <c r="B313" s="4">
        <v>5</v>
      </c>
      <c r="C313" s="4">
        <v>36</v>
      </c>
      <c r="D313" s="4">
        <v>30.8</v>
      </c>
      <c r="E313" s="4" t="s">
        <v>92</v>
      </c>
      <c r="F313" s="4">
        <v>24</v>
      </c>
      <c r="G313" s="4">
        <v>13</v>
      </c>
      <c r="H313" s="4">
        <v>20.3</v>
      </c>
    </row>
    <row r="314" spans="1:8" x14ac:dyDescent="0.25">
      <c r="A314" s="2">
        <v>44875</v>
      </c>
      <c r="B314" s="4">
        <v>5</v>
      </c>
      <c r="C314" s="4">
        <v>35</v>
      </c>
      <c r="D314" s="4">
        <v>52.16</v>
      </c>
      <c r="E314" s="4" t="s">
        <v>92</v>
      </c>
      <c r="F314" s="4">
        <v>24</v>
      </c>
      <c r="G314" s="4">
        <v>15</v>
      </c>
      <c r="H314" s="4">
        <v>59.2</v>
      </c>
    </row>
    <row r="315" spans="1:8" x14ac:dyDescent="0.25">
      <c r="A315" s="2">
        <v>44876</v>
      </c>
      <c r="B315" s="4">
        <v>5</v>
      </c>
      <c r="C315" s="4">
        <v>35</v>
      </c>
      <c r="D315" s="4">
        <v>9.66</v>
      </c>
      <c r="E315" s="4" t="s">
        <v>92</v>
      </c>
      <c r="F315" s="4">
        <v>24</v>
      </c>
      <c r="G315" s="4">
        <v>18</v>
      </c>
      <c r="H315" s="4">
        <v>36.299999999999997</v>
      </c>
    </row>
    <row r="316" spans="1:8" x14ac:dyDescent="0.25">
      <c r="A316" s="2">
        <v>44877</v>
      </c>
      <c r="B316" s="4">
        <v>5</v>
      </c>
      <c r="C316" s="4">
        <v>34</v>
      </c>
      <c r="D316" s="4">
        <v>23.36</v>
      </c>
      <c r="E316" s="4" t="s">
        <v>92</v>
      </c>
      <c r="F316" s="4">
        <v>24</v>
      </c>
      <c r="G316" s="4">
        <v>21</v>
      </c>
      <c r="H316" s="4">
        <v>11.5</v>
      </c>
    </row>
    <row r="317" spans="1:8" x14ac:dyDescent="0.25">
      <c r="A317" s="2">
        <v>44878</v>
      </c>
      <c r="B317" s="4">
        <v>5</v>
      </c>
      <c r="C317" s="4">
        <v>33</v>
      </c>
      <c r="D317" s="4">
        <v>33.26</v>
      </c>
      <c r="E317" s="4" t="s">
        <v>92</v>
      </c>
      <c r="F317" s="4">
        <v>24</v>
      </c>
      <c r="G317" s="4">
        <v>23</v>
      </c>
      <c r="H317" s="4">
        <v>44.2</v>
      </c>
    </row>
    <row r="318" spans="1:8" x14ac:dyDescent="0.25">
      <c r="A318" s="2">
        <v>44879</v>
      </c>
      <c r="B318" s="4">
        <v>5</v>
      </c>
      <c r="C318" s="4">
        <v>32</v>
      </c>
      <c r="D318" s="4">
        <v>39.42</v>
      </c>
      <c r="E318" s="4" t="s">
        <v>92</v>
      </c>
      <c r="F318" s="4">
        <v>24</v>
      </c>
      <c r="G318" s="4">
        <v>26</v>
      </c>
      <c r="H318" s="4">
        <v>14.3</v>
      </c>
    </row>
    <row r="319" spans="1:8" x14ac:dyDescent="0.25">
      <c r="A319" s="2">
        <v>44880</v>
      </c>
      <c r="B319" s="4">
        <v>5</v>
      </c>
      <c r="C319" s="4">
        <v>31</v>
      </c>
      <c r="D319" s="4">
        <v>41.89</v>
      </c>
      <c r="E319" s="4" t="s">
        <v>92</v>
      </c>
      <c r="F319" s="4">
        <v>24</v>
      </c>
      <c r="G319" s="4">
        <v>28</v>
      </c>
      <c r="H319" s="4">
        <v>41.2</v>
      </c>
    </row>
    <row r="320" spans="1:8" x14ac:dyDescent="0.25">
      <c r="A320" s="2">
        <v>44881</v>
      </c>
      <c r="B320" s="4">
        <v>5</v>
      </c>
      <c r="C320" s="4">
        <v>30</v>
      </c>
      <c r="D320" s="4">
        <v>40.74</v>
      </c>
      <c r="E320" s="4" t="s">
        <v>92</v>
      </c>
      <c r="F320" s="4">
        <v>24</v>
      </c>
      <c r="G320" s="4">
        <v>31</v>
      </c>
      <c r="H320" s="4">
        <v>4.7</v>
      </c>
    </row>
    <row r="321" spans="1:8" x14ac:dyDescent="0.25">
      <c r="A321" s="2">
        <v>44882</v>
      </c>
      <c r="B321" s="4">
        <v>5</v>
      </c>
      <c r="C321" s="4">
        <v>29</v>
      </c>
      <c r="D321" s="4">
        <v>36.020000000000003</v>
      </c>
      <c r="E321" s="4" t="s">
        <v>92</v>
      </c>
      <c r="F321" s="4">
        <v>24</v>
      </c>
      <c r="G321" s="4">
        <v>33</v>
      </c>
      <c r="H321" s="4">
        <v>24.3</v>
      </c>
    </row>
    <row r="322" spans="1:8" x14ac:dyDescent="0.25">
      <c r="A322" s="2">
        <v>44883</v>
      </c>
      <c r="B322" s="4">
        <v>5</v>
      </c>
      <c r="C322" s="4">
        <v>28</v>
      </c>
      <c r="D322" s="4">
        <v>27.84</v>
      </c>
      <c r="E322" s="4" t="s">
        <v>92</v>
      </c>
      <c r="F322" s="4">
        <v>24</v>
      </c>
      <c r="G322" s="4">
        <v>35</v>
      </c>
      <c r="H322" s="4">
        <v>39.700000000000003</v>
      </c>
    </row>
    <row r="323" spans="1:8" x14ac:dyDescent="0.25">
      <c r="A323" s="2">
        <v>44884</v>
      </c>
      <c r="B323" s="4">
        <v>5</v>
      </c>
      <c r="C323" s="4">
        <v>27</v>
      </c>
      <c r="D323" s="4">
        <v>16.29</v>
      </c>
      <c r="E323" s="4" t="s">
        <v>92</v>
      </c>
      <c r="F323" s="4">
        <v>24</v>
      </c>
      <c r="G323" s="4">
        <v>37</v>
      </c>
      <c r="H323" s="4">
        <v>50.4</v>
      </c>
    </row>
    <row r="324" spans="1:8" x14ac:dyDescent="0.25">
      <c r="A324" s="2">
        <v>44885</v>
      </c>
      <c r="B324" s="4">
        <v>5</v>
      </c>
      <c r="C324" s="4">
        <v>26</v>
      </c>
      <c r="D324" s="4">
        <v>1.48</v>
      </c>
      <c r="E324" s="4" t="s">
        <v>92</v>
      </c>
      <c r="F324" s="4">
        <v>24</v>
      </c>
      <c r="G324" s="4">
        <v>39</v>
      </c>
      <c r="H324" s="4">
        <v>56</v>
      </c>
    </row>
    <row r="325" spans="1:8" x14ac:dyDescent="0.25">
      <c r="A325" s="2">
        <v>44886</v>
      </c>
      <c r="B325" s="4">
        <v>5</v>
      </c>
      <c r="C325" s="4">
        <v>24</v>
      </c>
      <c r="D325" s="4">
        <v>43.53</v>
      </c>
      <c r="E325" s="4" t="s">
        <v>92</v>
      </c>
      <c r="F325" s="4">
        <v>24</v>
      </c>
      <c r="G325" s="4">
        <v>41</v>
      </c>
      <c r="H325" s="4">
        <v>56.1</v>
      </c>
    </row>
    <row r="326" spans="1:8" x14ac:dyDescent="0.25">
      <c r="A326" s="2">
        <v>44887</v>
      </c>
      <c r="B326" s="4">
        <v>5</v>
      </c>
      <c r="C326" s="4">
        <v>23</v>
      </c>
      <c r="D326" s="4">
        <v>22.59</v>
      </c>
      <c r="E326" s="4" t="s">
        <v>92</v>
      </c>
      <c r="F326" s="4">
        <v>24</v>
      </c>
      <c r="G326" s="4">
        <v>43</v>
      </c>
      <c r="H326" s="4">
        <v>50.5</v>
      </c>
    </row>
    <row r="327" spans="1:8" x14ac:dyDescent="0.25">
      <c r="A327" s="2">
        <v>44888</v>
      </c>
      <c r="B327" s="4">
        <v>5</v>
      </c>
      <c r="C327" s="4">
        <v>21</v>
      </c>
      <c r="D327" s="4">
        <v>58.79</v>
      </c>
      <c r="E327" s="4" t="s">
        <v>92</v>
      </c>
      <c r="F327" s="4">
        <v>24</v>
      </c>
      <c r="G327" s="4">
        <v>45</v>
      </c>
      <c r="H327" s="4">
        <v>38.6</v>
      </c>
    </row>
    <row r="328" spans="1:8" x14ac:dyDescent="0.25">
      <c r="A328" s="2">
        <v>44889</v>
      </c>
      <c r="B328" s="4">
        <v>5</v>
      </c>
      <c r="C328" s="4">
        <v>20</v>
      </c>
      <c r="D328" s="4">
        <v>32.299999999999997</v>
      </c>
      <c r="E328" s="4" t="s">
        <v>92</v>
      </c>
      <c r="F328" s="4">
        <v>24</v>
      </c>
      <c r="G328" s="4">
        <v>47</v>
      </c>
      <c r="H328" s="4">
        <v>20.2</v>
      </c>
    </row>
    <row r="329" spans="1:8" x14ac:dyDescent="0.25">
      <c r="A329" s="2">
        <v>44890</v>
      </c>
      <c r="B329" s="4">
        <v>5</v>
      </c>
      <c r="C329" s="4">
        <v>19</v>
      </c>
      <c r="D329" s="4">
        <v>3.31</v>
      </c>
      <c r="E329" s="4" t="s">
        <v>92</v>
      </c>
      <c r="F329" s="4">
        <v>24</v>
      </c>
      <c r="G329" s="4">
        <v>48</v>
      </c>
      <c r="H329" s="4">
        <v>54.9</v>
      </c>
    </row>
    <row r="330" spans="1:8" x14ac:dyDescent="0.25">
      <c r="A330" s="2">
        <v>44891</v>
      </c>
      <c r="B330" s="4">
        <v>5</v>
      </c>
      <c r="C330" s="4">
        <v>17</v>
      </c>
      <c r="D330" s="4">
        <v>32</v>
      </c>
      <c r="E330" s="4" t="s">
        <v>92</v>
      </c>
      <c r="F330" s="4">
        <v>24</v>
      </c>
      <c r="G330" s="4">
        <v>50</v>
      </c>
      <c r="H330" s="4">
        <v>22.5</v>
      </c>
    </row>
    <row r="331" spans="1:8" x14ac:dyDescent="0.25">
      <c r="A331" s="2">
        <v>44892</v>
      </c>
      <c r="B331" s="4">
        <v>5</v>
      </c>
      <c r="C331" s="4">
        <v>15</v>
      </c>
      <c r="D331" s="4">
        <v>58.57</v>
      </c>
      <c r="E331" s="4" t="s">
        <v>92</v>
      </c>
      <c r="F331" s="4">
        <v>24</v>
      </c>
      <c r="G331" s="4">
        <v>51</v>
      </c>
      <c r="H331" s="4">
        <v>42.7</v>
      </c>
    </row>
    <row r="332" spans="1:8" x14ac:dyDescent="0.25">
      <c r="A332" s="2">
        <v>44893</v>
      </c>
      <c r="B332" s="4">
        <v>5</v>
      </c>
      <c r="C332" s="4">
        <v>14</v>
      </c>
      <c r="D332" s="4">
        <v>23.22</v>
      </c>
      <c r="E332" s="4" t="s">
        <v>92</v>
      </c>
      <c r="F332" s="4">
        <v>24</v>
      </c>
      <c r="G332" s="4">
        <v>52</v>
      </c>
      <c r="H332" s="4">
        <v>55.2</v>
      </c>
    </row>
    <row r="333" spans="1:8" x14ac:dyDescent="0.25">
      <c r="A333" s="2">
        <v>44894</v>
      </c>
      <c r="B333" s="4">
        <v>5</v>
      </c>
      <c r="C333" s="4">
        <v>12</v>
      </c>
      <c r="D333" s="4">
        <v>46.17</v>
      </c>
      <c r="E333" s="4" t="s">
        <v>92</v>
      </c>
      <c r="F333" s="4">
        <v>24</v>
      </c>
      <c r="G333" s="4">
        <v>53</v>
      </c>
      <c r="H333" s="4">
        <v>59.8</v>
      </c>
    </row>
    <row r="334" spans="1:8" x14ac:dyDescent="0.25">
      <c r="A334" s="2">
        <v>44895</v>
      </c>
      <c r="B334" s="4">
        <v>5</v>
      </c>
      <c r="C334" s="4">
        <v>11</v>
      </c>
      <c r="D334" s="4">
        <v>7.64</v>
      </c>
      <c r="E334" s="4" t="s">
        <v>92</v>
      </c>
      <c r="F334" s="4">
        <v>24</v>
      </c>
      <c r="G334" s="4">
        <v>54</v>
      </c>
      <c r="H334" s="4">
        <v>56.4</v>
      </c>
    </row>
    <row r="335" spans="1:8" x14ac:dyDescent="0.25">
      <c r="A335" s="2">
        <v>44896</v>
      </c>
      <c r="B335" s="4">
        <v>5</v>
      </c>
      <c r="C335" s="4">
        <v>9</v>
      </c>
      <c r="D335" s="4">
        <v>27.84</v>
      </c>
      <c r="E335" s="4" t="s">
        <v>92</v>
      </c>
      <c r="F335" s="4">
        <v>24</v>
      </c>
      <c r="G335" s="4">
        <v>55</v>
      </c>
      <c r="H335" s="4">
        <v>44.9</v>
      </c>
    </row>
    <row r="336" spans="1:8" x14ac:dyDescent="0.25">
      <c r="A336" s="2">
        <v>44897</v>
      </c>
      <c r="B336" s="4">
        <v>5</v>
      </c>
      <c r="C336" s="4">
        <v>7</v>
      </c>
      <c r="D336" s="4">
        <v>47</v>
      </c>
      <c r="E336" s="4" t="s">
        <v>92</v>
      </c>
      <c r="F336" s="4">
        <v>24</v>
      </c>
      <c r="G336" s="4">
        <v>56</v>
      </c>
      <c r="H336" s="4">
        <v>25.1</v>
      </c>
    </row>
    <row r="337" spans="1:8" x14ac:dyDescent="0.25">
      <c r="A337" s="2">
        <v>44898</v>
      </c>
      <c r="B337" s="4">
        <v>5</v>
      </c>
      <c r="C337" s="4">
        <v>6</v>
      </c>
      <c r="D337" s="4">
        <v>5.35</v>
      </c>
      <c r="E337" s="4" t="s">
        <v>92</v>
      </c>
      <c r="F337" s="4">
        <v>24</v>
      </c>
      <c r="G337" s="4">
        <v>56</v>
      </c>
      <c r="H337" s="4">
        <v>57.1</v>
      </c>
    </row>
    <row r="338" spans="1:8" x14ac:dyDescent="0.25">
      <c r="A338" s="2">
        <v>44899</v>
      </c>
      <c r="B338" s="4">
        <v>5</v>
      </c>
      <c r="C338" s="4">
        <v>4</v>
      </c>
      <c r="D338" s="4">
        <v>23.09</v>
      </c>
      <c r="E338" s="4" t="s">
        <v>92</v>
      </c>
      <c r="F338" s="4">
        <v>24</v>
      </c>
      <c r="G338" s="4">
        <v>57</v>
      </c>
      <c r="H338" s="4">
        <v>20.7</v>
      </c>
    </row>
    <row r="339" spans="1:8" x14ac:dyDescent="0.25">
      <c r="A339" s="2">
        <v>44900</v>
      </c>
      <c r="B339" s="4">
        <v>5</v>
      </c>
      <c r="C339" s="4">
        <v>2</v>
      </c>
      <c r="D339" s="4">
        <v>40.47</v>
      </c>
      <c r="E339" s="4" t="s">
        <v>92</v>
      </c>
      <c r="F339" s="4">
        <v>24</v>
      </c>
      <c r="G339" s="4">
        <v>57</v>
      </c>
      <c r="H339" s="4">
        <v>36.1</v>
      </c>
    </row>
    <row r="340" spans="1:8" x14ac:dyDescent="0.25">
      <c r="A340" s="2">
        <v>44901</v>
      </c>
      <c r="B340" s="4">
        <v>5</v>
      </c>
      <c r="C340" s="4">
        <v>0</v>
      </c>
      <c r="D340" s="4">
        <v>57.7</v>
      </c>
      <c r="E340" s="4" t="s">
        <v>92</v>
      </c>
      <c r="F340" s="4">
        <v>24</v>
      </c>
      <c r="G340" s="4">
        <v>57</v>
      </c>
      <c r="H340" s="4">
        <v>43.3</v>
      </c>
    </row>
    <row r="341" spans="1:8" x14ac:dyDescent="0.25">
      <c r="A341" s="2">
        <v>44902</v>
      </c>
      <c r="B341" s="4">
        <v>4</v>
      </c>
      <c r="C341" s="4">
        <v>59</v>
      </c>
      <c r="D341" s="4">
        <v>15.01</v>
      </c>
      <c r="E341" s="4" t="s">
        <v>92</v>
      </c>
      <c r="F341" s="4">
        <v>24</v>
      </c>
      <c r="G341" s="4">
        <v>57</v>
      </c>
      <c r="H341" s="4">
        <v>42.4</v>
      </c>
    </row>
    <row r="342" spans="1:8" x14ac:dyDescent="0.25">
      <c r="A342" s="2">
        <v>44903</v>
      </c>
      <c r="B342" s="4">
        <v>4</v>
      </c>
      <c r="C342" s="4">
        <v>57</v>
      </c>
      <c r="D342" s="4">
        <v>32.61</v>
      </c>
      <c r="E342" s="4" t="s">
        <v>92</v>
      </c>
      <c r="F342" s="4">
        <v>24</v>
      </c>
      <c r="G342" s="4">
        <v>57</v>
      </c>
      <c r="H342" s="4">
        <v>33.6</v>
      </c>
    </row>
    <row r="343" spans="1:8" x14ac:dyDescent="0.25">
      <c r="A343" s="2">
        <v>44904</v>
      </c>
      <c r="B343" s="4">
        <v>4</v>
      </c>
      <c r="C343" s="4">
        <v>55</v>
      </c>
      <c r="D343" s="4">
        <v>50.72</v>
      </c>
      <c r="E343" s="4" t="s">
        <v>92</v>
      </c>
      <c r="F343" s="4">
        <v>24</v>
      </c>
      <c r="G343" s="4">
        <v>57</v>
      </c>
      <c r="H343" s="4">
        <v>17.2</v>
      </c>
    </row>
    <row r="344" spans="1:8" x14ac:dyDescent="0.25">
      <c r="A344" s="2">
        <v>44905</v>
      </c>
      <c r="B344" s="4">
        <v>4</v>
      </c>
      <c r="C344" s="4">
        <v>54</v>
      </c>
      <c r="D344" s="4">
        <v>9.57</v>
      </c>
      <c r="E344" s="4" t="s">
        <v>92</v>
      </c>
      <c r="F344" s="4">
        <v>24</v>
      </c>
      <c r="G344" s="4">
        <v>56</v>
      </c>
      <c r="H344" s="4">
        <v>53.3</v>
      </c>
    </row>
    <row r="345" spans="1:8" x14ac:dyDescent="0.25">
      <c r="A345" s="2">
        <v>44906</v>
      </c>
      <c r="B345" s="4">
        <v>4</v>
      </c>
      <c r="C345" s="4">
        <v>52</v>
      </c>
      <c r="D345" s="4">
        <v>29.35</v>
      </c>
      <c r="E345" s="4" t="s">
        <v>92</v>
      </c>
      <c r="F345" s="4">
        <v>24</v>
      </c>
      <c r="G345" s="4">
        <v>56</v>
      </c>
      <c r="H345" s="4">
        <v>22.3</v>
      </c>
    </row>
    <row r="346" spans="1:8" x14ac:dyDescent="0.25">
      <c r="A346" s="2">
        <v>44907</v>
      </c>
      <c r="B346" s="4">
        <v>4</v>
      </c>
      <c r="C346" s="4">
        <v>50</v>
      </c>
      <c r="D346" s="4">
        <v>50.29</v>
      </c>
      <c r="E346" s="4" t="s">
        <v>92</v>
      </c>
      <c r="F346" s="4">
        <v>24</v>
      </c>
      <c r="G346" s="4">
        <v>55</v>
      </c>
      <c r="H346" s="4">
        <v>44.5</v>
      </c>
    </row>
    <row r="347" spans="1:8" x14ac:dyDescent="0.25">
      <c r="A347" s="2">
        <v>44908</v>
      </c>
      <c r="B347" s="4">
        <v>4</v>
      </c>
      <c r="C347" s="4">
        <v>49</v>
      </c>
      <c r="D347" s="4">
        <v>12.58</v>
      </c>
      <c r="E347" s="4" t="s">
        <v>92</v>
      </c>
      <c r="F347" s="4">
        <v>24</v>
      </c>
      <c r="G347" s="4">
        <v>55</v>
      </c>
      <c r="H347" s="4">
        <v>0.4</v>
      </c>
    </row>
    <row r="348" spans="1:8" x14ac:dyDescent="0.25">
      <c r="A348" s="2">
        <v>44909</v>
      </c>
      <c r="B348" s="4">
        <v>4</v>
      </c>
      <c r="C348" s="4">
        <v>47</v>
      </c>
      <c r="D348" s="4">
        <v>36.42</v>
      </c>
      <c r="E348" s="4" t="s">
        <v>92</v>
      </c>
      <c r="F348" s="4">
        <v>24</v>
      </c>
      <c r="G348" s="4">
        <v>54</v>
      </c>
      <c r="H348" s="4">
        <v>10.199999999999999</v>
      </c>
    </row>
    <row r="349" spans="1:8" x14ac:dyDescent="0.25">
      <c r="A349" s="2">
        <v>44910</v>
      </c>
      <c r="B349" s="4">
        <v>4</v>
      </c>
      <c r="C349" s="4">
        <v>46</v>
      </c>
      <c r="D349" s="4">
        <v>2.0099999999999998</v>
      </c>
      <c r="E349" s="4" t="s">
        <v>92</v>
      </c>
      <c r="F349" s="4">
        <v>24</v>
      </c>
      <c r="G349" s="4">
        <v>53</v>
      </c>
      <c r="H349" s="4">
        <v>14.6</v>
      </c>
    </row>
    <row r="350" spans="1:8" x14ac:dyDescent="0.25">
      <c r="A350" s="2">
        <v>44911</v>
      </c>
      <c r="B350" s="4">
        <v>4</v>
      </c>
      <c r="C350" s="4">
        <v>44</v>
      </c>
      <c r="D350" s="4">
        <v>29.52</v>
      </c>
      <c r="E350" s="4" t="s">
        <v>92</v>
      </c>
      <c r="F350" s="4">
        <v>24</v>
      </c>
      <c r="G350" s="4">
        <v>52</v>
      </c>
      <c r="H350" s="4">
        <v>14</v>
      </c>
    </row>
    <row r="351" spans="1:8" x14ac:dyDescent="0.25">
      <c r="A351" s="2">
        <v>44912</v>
      </c>
      <c r="B351" s="4">
        <v>4</v>
      </c>
      <c r="C351" s="4">
        <v>42</v>
      </c>
      <c r="D351" s="4">
        <v>59.14</v>
      </c>
      <c r="E351" s="4" t="s">
        <v>92</v>
      </c>
      <c r="F351" s="4">
        <v>24</v>
      </c>
      <c r="G351" s="4">
        <v>51</v>
      </c>
      <c r="H351" s="4">
        <v>8.8000000000000007</v>
      </c>
    </row>
    <row r="352" spans="1:8" x14ac:dyDescent="0.25">
      <c r="A352" s="2">
        <v>44913</v>
      </c>
      <c r="B352" s="4">
        <v>4</v>
      </c>
      <c r="C352" s="4">
        <v>41</v>
      </c>
      <c r="D352" s="4">
        <v>31.03</v>
      </c>
      <c r="E352" s="4" t="s">
        <v>92</v>
      </c>
      <c r="F352" s="4">
        <v>24</v>
      </c>
      <c r="G352" s="4">
        <v>49</v>
      </c>
      <c r="H352" s="4">
        <v>59.6</v>
      </c>
    </row>
    <row r="353" spans="1:8" x14ac:dyDescent="0.25">
      <c r="A353" s="2">
        <v>44914</v>
      </c>
      <c r="B353" s="4">
        <v>4</v>
      </c>
      <c r="C353" s="4">
        <v>40</v>
      </c>
      <c r="D353" s="4">
        <v>5.36</v>
      </c>
      <c r="E353" s="4" t="s">
        <v>92</v>
      </c>
      <c r="F353" s="4">
        <v>24</v>
      </c>
      <c r="G353" s="4">
        <v>48</v>
      </c>
      <c r="H353" s="4">
        <v>47.1</v>
      </c>
    </row>
    <row r="354" spans="1:8" x14ac:dyDescent="0.25">
      <c r="A354" s="2">
        <v>44915</v>
      </c>
      <c r="B354" s="4">
        <v>4</v>
      </c>
      <c r="C354" s="4">
        <v>38</v>
      </c>
      <c r="D354" s="4">
        <v>42.28</v>
      </c>
      <c r="E354" s="4" t="s">
        <v>92</v>
      </c>
      <c r="F354" s="4">
        <v>24</v>
      </c>
      <c r="G354" s="4">
        <v>47</v>
      </c>
      <c r="H354" s="4">
        <v>31.6</v>
      </c>
    </row>
    <row r="355" spans="1:8" x14ac:dyDescent="0.25">
      <c r="A355" s="2">
        <v>44916</v>
      </c>
      <c r="B355" s="4">
        <v>4</v>
      </c>
      <c r="C355" s="4">
        <v>37</v>
      </c>
      <c r="D355" s="4">
        <v>21.94</v>
      </c>
      <c r="E355" s="4" t="s">
        <v>92</v>
      </c>
      <c r="F355" s="4">
        <v>24</v>
      </c>
      <c r="G355" s="4">
        <v>46</v>
      </c>
      <c r="H355" s="4">
        <v>13.9</v>
      </c>
    </row>
    <row r="356" spans="1:8" x14ac:dyDescent="0.25">
      <c r="A356" s="2">
        <v>44917</v>
      </c>
      <c r="B356" s="4">
        <v>4</v>
      </c>
      <c r="C356" s="4">
        <v>36</v>
      </c>
      <c r="D356" s="4">
        <v>4.47</v>
      </c>
      <c r="E356" s="4" t="s">
        <v>92</v>
      </c>
      <c r="F356" s="4">
        <v>24</v>
      </c>
      <c r="G356" s="4">
        <v>44</v>
      </c>
      <c r="H356" s="4">
        <v>54.4</v>
      </c>
    </row>
    <row r="357" spans="1:8" x14ac:dyDescent="0.25">
      <c r="A357" s="2">
        <v>44918</v>
      </c>
      <c r="B357" s="4">
        <v>4</v>
      </c>
      <c r="C357" s="4">
        <v>34</v>
      </c>
      <c r="D357" s="4">
        <v>50.01</v>
      </c>
      <c r="E357" s="4" t="s">
        <v>92</v>
      </c>
      <c r="F357" s="4">
        <v>24</v>
      </c>
      <c r="G357" s="4">
        <v>43</v>
      </c>
      <c r="H357" s="4">
        <v>33.9</v>
      </c>
    </row>
    <row r="358" spans="1:8" x14ac:dyDescent="0.25">
      <c r="A358" s="2">
        <v>44919</v>
      </c>
      <c r="B358" s="4">
        <v>4</v>
      </c>
      <c r="C358" s="4">
        <v>33</v>
      </c>
      <c r="D358" s="4">
        <v>38.659999999999997</v>
      </c>
      <c r="E358" s="4" t="s">
        <v>92</v>
      </c>
      <c r="F358" s="4">
        <v>24</v>
      </c>
      <c r="G358" s="4">
        <v>42</v>
      </c>
      <c r="H358" s="4">
        <v>12.8</v>
      </c>
    </row>
    <row r="359" spans="1:8" x14ac:dyDescent="0.25">
      <c r="A359" s="2">
        <v>44920</v>
      </c>
      <c r="B359" s="4">
        <v>4</v>
      </c>
      <c r="C359" s="4">
        <v>32</v>
      </c>
      <c r="D359" s="4">
        <v>30.54</v>
      </c>
      <c r="E359" s="4" t="s">
        <v>92</v>
      </c>
      <c r="F359" s="4">
        <v>24</v>
      </c>
      <c r="G359" s="4">
        <v>40</v>
      </c>
      <c r="H359" s="4">
        <v>51.7</v>
      </c>
    </row>
    <row r="360" spans="1:8" x14ac:dyDescent="0.25">
      <c r="A360" s="2">
        <v>44921</v>
      </c>
      <c r="B360" s="4">
        <v>4</v>
      </c>
      <c r="C360" s="4">
        <v>31</v>
      </c>
      <c r="D360" s="4">
        <v>25.75</v>
      </c>
      <c r="E360" s="4" t="s">
        <v>92</v>
      </c>
      <c r="F360" s="4">
        <v>24</v>
      </c>
      <c r="G360" s="4">
        <v>39</v>
      </c>
      <c r="H360" s="4">
        <v>31.3</v>
      </c>
    </row>
    <row r="361" spans="1:8" x14ac:dyDescent="0.25">
      <c r="A361" s="2">
        <v>44922</v>
      </c>
      <c r="B361" s="4">
        <v>4</v>
      </c>
      <c r="C361" s="4">
        <v>30</v>
      </c>
      <c r="D361" s="4">
        <v>24.34</v>
      </c>
      <c r="E361" s="4" t="s">
        <v>92</v>
      </c>
      <c r="F361" s="4">
        <v>24</v>
      </c>
      <c r="G361" s="4">
        <v>38</v>
      </c>
      <c r="H361" s="4">
        <v>12</v>
      </c>
    </row>
    <row r="362" spans="1:8" x14ac:dyDescent="0.25">
      <c r="A362" s="2">
        <v>44923</v>
      </c>
      <c r="B362" s="4">
        <v>4</v>
      </c>
      <c r="C362" s="4">
        <v>29</v>
      </c>
      <c r="D362" s="4">
        <v>26.41</v>
      </c>
      <c r="E362" s="4" t="s">
        <v>92</v>
      </c>
      <c r="F362" s="4">
        <v>24</v>
      </c>
      <c r="G362" s="4">
        <v>36</v>
      </c>
      <c r="H362" s="4">
        <v>54.2</v>
      </c>
    </row>
    <row r="363" spans="1:8" x14ac:dyDescent="0.25">
      <c r="A363" s="2">
        <v>44924</v>
      </c>
      <c r="B363" s="4">
        <v>4</v>
      </c>
      <c r="C363" s="4">
        <v>28</v>
      </c>
      <c r="D363" s="4">
        <v>31.99</v>
      </c>
      <c r="E363" s="4" t="s">
        <v>92</v>
      </c>
      <c r="F363" s="4">
        <v>24</v>
      </c>
      <c r="G363" s="4">
        <v>35</v>
      </c>
      <c r="H363" s="4">
        <v>38.6</v>
      </c>
    </row>
    <row r="364" spans="1:8" x14ac:dyDescent="0.25">
      <c r="A364" s="2">
        <v>44925</v>
      </c>
      <c r="B364" s="4">
        <v>4</v>
      </c>
      <c r="C364" s="4">
        <v>27</v>
      </c>
      <c r="D364" s="4">
        <v>41.14</v>
      </c>
      <c r="E364" s="4" t="s">
        <v>92</v>
      </c>
      <c r="F364" s="4">
        <v>24</v>
      </c>
      <c r="G364" s="4">
        <v>34</v>
      </c>
      <c r="H364" s="4">
        <v>25.4</v>
      </c>
    </row>
    <row r="365" spans="1:8" x14ac:dyDescent="0.25">
      <c r="A365" s="2">
        <v>44926</v>
      </c>
      <c r="B365" s="4">
        <v>4</v>
      </c>
      <c r="C365" s="4">
        <v>26</v>
      </c>
      <c r="D365" s="4">
        <v>53.87</v>
      </c>
      <c r="E365" s="4" t="s">
        <v>92</v>
      </c>
      <c r="F365" s="4">
        <v>24</v>
      </c>
      <c r="G365" s="4">
        <v>33</v>
      </c>
      <c r="H365" s="4">
        <v>15.2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79EDC-3B9A-43F5-89DD-4B1728CE9DBA}">
  <dimension ref="A1:H365"/>
  <sheetViews>
    <sheetView workbookViewId="0">
      <selection activeCell="J10" sqref="J10"/>
    </sheetView>
  </sheetViews>
  <sheetFormatPr defaultRowHeight="15" x14ac:dyDescent="0.25"/>
  <cols>
    <col min="1" max="1" width="19.7109375" style="2" customWidth="1"/>
  </cols>
  <sheetData>
    <row r="1" spans="1:8" x14ac:dyDescent="0.25">
      <c r="A1" s="2">
        <v>44562</v>
      </c>
      <c r="B1" s="1">
        <v>19</v>
      </c>
      <c r="C1" s="1">
        <v>37</v>
      </c>
      <c r="D1" s="1">
        <v>15.87</v>
      </c>
      <c r="E1" s="1" t="s">
        <v>215</v>
      </c>
      <c r="F1" s="1">
        <v>18</v>
      </c>
      <c r="G1" s="1">
        <v>37</v>
      </c>
      <c r="H1" s="1">
        <v>55.1</v>
      </c>
    </row>
    <row r="2" spans="1:8" x14ac:dyDescent="0.25">
      <c r="A2" s="2">
        <v>44563</v>
      </c>
      <c r="B2" s="1">
        <v>19</v>
      </c>
      <c r="C2" s="1">
        <v>35</v>
      </c>
      <c r="D2" s="1">
        <v>0.39</v>
      </c>
      <c r="E2" s="1" t="s">
        <v>215</v>
      </c>
      <c r="F2" s="1">
        <v>18</v>
      </c>
      <c r="G2" s="1">
        <v>27</v>
      </c>
      <c r="H2" s="1">
        <v>23.1</v>
      </c>
    </row>
    <row r="3" spans="1:8" x14ac:dyDescent="0.25">
      <c r="A3" s="2">
        <v>44564</v>
      </c>
      <c r="B3" s="1">
        <v>19</v>
      </c>
      <c r="C3" s="1">
        <v>32</v>
      </c>
      <c r="D3" s="1">
        <v>38.67</v>
      </c>
      <c r="E3" s="1" t="s">
        <v>215</v>
      </c>
      <c r="F3" s="1">
        <v>18</v>
      </c>
      <c r="G3" s="1">
        <v>17</v>
      </c>
      <c r="H3" s="1">
        <v>6.6</v>
      </c>
    </row>
    <row r="4" spans="1:8" x14ac:dyDescent="0.25">
      <c r="A4" s="2">
        <v>44565</v>
      </c>
      <c r="B4" s="1">
        <v>19</v>
      </c>
      <c r="C4" s="1">
        <v>30</v>
      </c>
      <c r="D4" s="1">
        <v>11.56</v>
      </c>
      <c r="E4" s="1" t="s">
        <v>215</v>
      </c>
      <c r="F4" s="1">
        <v>18</v>
      </c>
      <c r="G4" s="1">
        <v>7</v>
      </c>
      <c r="H4" s="1">
        <v>6.7</v>
      </c>
    </row>
    <row r="5" spans="1:8" x14ac:dyDescent="0.25">
      <c r="A5" s="2">
        <v>44566</v>
      </c>
      <c r="B5" s="1">
        <v>19</v>
      </c>
      <c r="C5" s="1">
        <v>27</v>
      </c>
      <c r="D5" s="1">
        <v>39.950000000000003</v>
      </c>
      <c r="E5" s="1" t="s">
        <v>215</v>
      </c>
      <c r="F5" s="1">
        <v>17</v>
      </c>
      <c r="G5" s="1">
        <v>57</v>
      </c>
      <c r="H5" s="1">
        <v>24.5</v>
      </c>
    </row>
    <row r="6" spans="1:8" x14ac:dyDescent="0.25">
      <c r="A6" s="2">
        <v>44567</v>
      </c>
      <c r="B6" s="1">
        <v>19</v>
      </c>
      <c r="C6" s="1">
        <v>25</v>
      </c>
      <c r="D6" s="1">
        <v>4.79</v>
      </c>
      <c r="E6" s="1" t="s">
        <v>215</v>
      </c>
      <c r="F6" s="1">
        <v>17</v>
      </c>
      <c r="G6" s="1">
        <v>48</v>
      </c>
      <c r="H6" s="1">
        <v>1.1000000000000001</v>
      </c>
    </row>
    <row r="7" spans="1:8" x14ac:dyDescent="0.25">
      <c r="A7" s="2">
        <v>44568</v>
      </c>
      <c r="B7" s="1">
        <v>19</v>
      </c>
      <c r="C7" s="1">
        <v>22</v>
      </c>
      <c r="D7" s="1">
        <v>27.08</v>
      </c>
      <c r="E7" s="1" t="s">
        <v>215</v>
      </c>
      <c r="F7" s="1">
        <v>17</v>
      </c>
      <c r="G7" s="1">
        <v>38</v>
      </c>
      <c r="H7" s="1">
        <v>57.9</v>
      </c>
    </row>
    <row r="8" spans="1:8" x14ac:dyDescent="0.25">
      <c r="A8" s="2">
        <v>44569</v>
      </c>
      <c r="B8" s="1">
        <v>19</v>
      </c>
      <c r="C8" s="1">
        <v>19</v>
      </c>
      <c r="D8" s="1">
        <v>47.87</v>
      </c>
      <c r="E8" s="1" t="s">
        <v>215</v>
      </c>
      <c r="F8" s="1">
        <v>17</v>
      </c>
      <c r="G8" s="1">
        <v>30</v>
      </c>
      <c r="H8" s="1">
        <v>16.100000000000001</v>
      </c>
    </row>
    <row r="9" spans="1:8" x14ac:dyDescent="0.25">
      <c r="A9" s="2">
        <v>44570</v>
      </c>
      <c r="B9" s="1">
        <v>19</v>
      </c>
      <c r="C9" s="1">
        <v>17</v>
      </c>
      <c r="D9" s="1">
        <v>8.2200000000000006</v>
      </c>
      <c r="E9" s="1" t="s">
        <v>215</v>
      </c>
      <c r="F9" s="1">
        <v>17</v>
      </c>
      <c r="G9" s="1">
        <v>21</v>
      </c>
      <c r="H9" s="1">
        <v>56.9</v>
      </c>
    </row>
    <row r="10" spans="1:8" x14ac:dyDescent="0.25">
      <c r="A10" s="2">
        <v>44571</v>
      </c>
      <c r="B10" s="1">
        <v>19</v>
      </c>
      <c r="C10" s="1">
        <v>14</v>
      </c>
      <c r="D10" s="1">
        <v>29.21</v>
      </c>
      <c r="E10" s="1" t="s">
        <v>215</v>
      </c>
      <c r="F10" s="1">
        <v>17</v>
      </c>
      <c r="G10" s="1">
        <v>14</v>
      </c>
      <c r="H10" s="1">
        <v>1.6</v>
      </c>
    </row>
    <row r="11" spans="1:8" x14ac:dyDescent="0.25">
      <c r="A11" s="2">
        <v>44572</v>
      </c>
      <c r="B11" s="1">
        <v>19</v>
      </c>
      <c r="C11" s="1">
        <v>11</v>
      </c>
      <c r="D11" s="1">
        <v>51.89</v>
      </c>
      <c r="E11" s="1" t="s">
        <v>215</v>
      </c>
      <c r="F11" s="1">
        <v>17</v>
      </c>
      <c r="G11" s="1">
        <v>6</v>
      </c>
      <c r="H11" s="1">
        <v>31.3</v>
      </c>
    </row>
    <row r="12" spans="1:8" x14ac:dyDescent="0.25">
      <c r="A12" s="2">
        <v>44573</v>
      </c>
      <c r="B12" s="1">
        <v>19</v>
      </c>
      <c r="C12" s="1">
        <v>9</v>
      </c>
      <c r="D12" s="1">
        <v>17.329999999999998</v>
      </c>
      <c r="E12" s="1" t="s">
        <v>215</v>
      </c>
      <c r="F12" s="1">
        <v>16</v>
      </c>
      <c r="G12" s="1">
        <v>59</v>
      </c>
      <c r="H12" s="1">
        <v>27.2</v>
      </c>
    </row>
    <row r="13" spans="1:8" x14ac:dyDescent="0.25">
      <c r="A13" s="2">
        <v>44574</v>
      </c>
      <c r="B13" s="1">
        <v>19</v>
      </c>
      <c r="C13" s="1">
        <v>6</v>
      </c>
      <c r="D13" s="1">
        <v>46.54</v>
      </c>
      <c r="E13" s="1" t="s">
        <v>215</v>
      </c>
      <c r="F13" s="1">
        <v>16</v>
      </c>
      <c r="G13" s="1">
        <v>52</v>
      </c>
      <c r="H13" s="1">
        <v>50.4</v>
      </c>
    </row>
    <row r="14" spans="1:8" x14ac:dyDescent="0.25">
      <c r="A14" s="2">
        <v>44575</v>
      </c>
      <c r="B14" s="1">
        <v>19</v>
      </c>
      <c r="C14" s="1">
        <v>4</v>
      </c>
      <c r="D14" s="1">
        <v>20.49</v>
      </c>
      <c r="E14" s="1" t="s">
        <v>215</v>
      </c>
      <c r="F14" s="1">
        <v>16</v>
      </c>
      <c r="G14" s="1">
        <v>46</v>
      </c>
      <c r="H14" s="1">
        <v>41.8</v>
      </c>
    </row>
    <row r="15" spans="1:8" x14ac:dyDescent="0.25">
      <c r="A15" s="2">
        <v>44576</v>
      </c>
      <c r="B15" s="1">
        <v>19</v>
      </c>
      <c r="C15" s="1">
        <v>2</v>
      </c>
      <c r="D15" s="1">
        <v>0.09</v>
      </c>
      <c r="E15" s="1" t="s">
        <v>215</v>
      </c>
      <c r="F15" s="1">
        <v>16</v>
      </c>
      <c r="G15" s="1">
        <v>41</v>
      </c>
      <c r="H15" s="1">
        <v>2</v>
      </c>
    </row>
    <row r="16" spans="1:8" x14ac:dyDescent="0.25">
      <c r="A16" s="2">
        <v>44577</v>
      </c>
      <c r="B16" s="1">
        <v>18</v>
      </c>
      <c r="C16" s="1">
        <v>59</v>
      </c>
      <c r="D16" s="1">
        <v>46.18</v>
      </c>
      <c r="E16" s="1" t="s">
        <v>215</v>
      </c>
      <c r="F16" s="1">
        <v>16</v>
      </c>
      <c r="G16" s="1">
        <v>35</v>
      </c>
      <c r="H16" s="1">
        <v>51.8</v>
      </c>
    </row>
    <row r="17" spans="1:8" x14ac:dyDescent="0.25">
      <c r="A17" s="2">
        <v>44578</v>
      </c>
      <c r="B17" s="1">
        <v>18</v>
      </c>
      <c r="C17" s="1">
        <v>57</v>
      </c>
      <c r="D17" s="1">
        <v>39.54</v>
      </c>
      <c r="E17" s="1" t="s">
        <v>215</v>
      </c>
      <c r="F17" s="1">
        <v>16</v>
      </c>
      <c r="G17" s="1">
        <v>31</v>
      </c>
      <c r="H17" s="1">
        <v>11.6</v>
      </c>
    </row>
    <row r="18" spans="1:8" x14ac:dyDescent="0.25">
      <c r="A18" s="2">
        <v>44579</v>
      </c>
      <c r="B18" s="1">
        <v>18</v>
      </c>
      <c r="C18" s="1">
        <v>55</v>
      </c>
      <c r="D18" s="1">
        <v>40.86</v>
      </c>
      <c r="E18" s="1" t="s">
        <v>215</v>
      </c>
      <c r="F18" s="1">
        <v>16</v>
      </c>
      <c r="G18" s="1">
        <v>27</v>
      </c>
      <c r="H18" s="1">
        <v>1.7</v>
      </c>
    </row>
    <row r="19" spans="1:8" x14ac:dyDescent="0.25">
      <c r="A19" s="2">
        <v>44580</v>
      </c>
      <c r="B19" s="1">
        <v>18</v>
      </c>
      <c r="C19" s="1">
        <v>53</v>
      </c>
      <c r="D19" s="1">
        <v>50.75</v>
      </c>
      <c r="E19" s="1" t="s">
        <v>215</v>
      </c>
      <c r="F19" s="1">
        <v>16</v>
      </c>
      <c r="G19" s="1">
        <v>23</v>
      </c>
      <c r="H19" s="1">
        <v>22</v>
      </c>
    </row>
    <row r="20" spans="1:8" x14ac:dyDescent="0.25">
      <c r="A20" s="2">
        <v>44581</v>
      </c>
      <c r="B20" s="1">
        <v>18</v>
      </c>
      <c r="C20" s="1">
        <v>52</v>
      </c>
      <c r="D20" s="1">
        <v>9.7200000000000006</v>
      </c>
      <c r="E20" s="1" t="s">
        <v>215</v>
      </c>
      <c r="F20" s="1">
        <v>16</v>
      </c>
      <c r="G20" s="1">
        <v>20</v>
      </c>
      <c r="H20" s="1">
        <v>12.4</v>
      </c>
    </row>
    <row r="21" spans="1:8" x14ac:dyDescent="0.25">
      <c r="A21" s="2">
        <v>44582</v>
      </c>
      <c r="B21" s="1">
        <v>18</v>
      </c>
      <c r="C21" s="1">
        <v>50</v>
      </c>
      <c r="D21" s="1">
        <v>38.229999999999997</v>
      </c>
      <c r="E21" s="1" t="s">
        <v>215</v>
      </c>
      <c r="F21" s="1">
        <v>16</v>
      </c>
      <c r="G21" s="1">
        <v>17</v>
      </c>
      <c r="H21" s="1">
        <v>32.6</v>
      </c>
    </row>
    <row r="22" spans="1:8" x14ac:dyDescent="0.25">
      <c r="A22" s="2">
        <v>44583</v>
      </c>
      <c r="B22" s="1">
        <v>18</v>
      </c>
      <c r="C22" s="1">
        <v>49</v>
      </c>
      <c r="D22" s="1">
        <v>16.63</v>
      </c>
      <c r="E22" s="1" t="s">
        <v>215</v>
      </c>
      <c r="F22" s="1">
        <v>16</v>
      </c>
      <c r="G22" s="1">
        <v>15</v>
      </c>
      <c r="H22" s="1">
        <v>21.9</v>
      </c>
    </row>
    <row r="23" spans="1:8" x14ac:dyDescent="0.25">
      <c r="A23" s="2">
        <v>44584</v>
      </c>
      <c r="B23" s="1">
        <v>18</v>
      </c>
      <c r="C23" s="1">
        <v>48</v>
      </c>
      <c r="D23" s="1">
        <v>5.18</v>
      </c>
      <c r="E23" s="1" t="s">
        <v>215</v>
      </c>
      <c r="F23" s="1">
        <v>16</v>
      </c>
      <c r="G23" s="1">
        <v>13</v>
      </c>
      <c r="H23" s="1">
        <v>39.700000000000003</v>
      </c>
    </row>
    <row r="24" spans="1:8" x14ac:dyDescent="0.25">
      <c r="A24" s="2">
        <v>44585</v>
      </c>
      <c r="B24" s="1">
        <v>18</v>
      </c>
      <c r="C24" s="1">
        <v>47</v>
      </c>
      <c r="D24" s="1">
        <v>4.0999999999999996</v>
      </c>
      <c r="E24" s="1" t="s">
        <v>215</v>
      </c>
      <c r="F24" s="1">
        <v>16</v>
      </c>
      <c r="G24" s="1">
        <v>12</v>
      </c>
      <c r="H24" s="1">
        <v>24.9</v>
      </c>
    </row>
    <row r="25" spans="1:8" x14ac:dyDescent="0.25">
      <c r="A25" s="2">
        <v>44586</v>
      </c>
      <c r="B25" s="1">
        <v>18</v>
      </c>
      <c r="C25" s="1">
        <v>46</v>
      </c>
      <c r="D25" s="1">
        <v>13.5</v>
      </c>
      <c r="E25" s="1" t="s">
        <v>215</v>
      </c>
      <c r="F25" s="1">
        <v>16</v>
      </c>
      <c r="G25" s="1">
        <v>11</v>
      </c>
      <c r="H25" s="1">
        <v>36.5</v>
      </c>
    </row>
    <row r="26" spans="1:8" x14ac:dyDescent="0.25">
      <c r="A26" s="2">
        <v>44587</v>
      </c>
      <c r="B26" s="1">
        <v>18</v>
      </c>
      <c r="C26" s="1">
        <v>45</v>
      </c>
      <c r="D26" s="1">
        <v>33.450000000000003</v>
      </c>
      <c r="E26" s="1" t="s">
        <v>215</v>
      </c>
      <c r="F26" s="1">
        <v>16</v>
      </c>
      <c r="G26" s="1">
        <v>11</v>
      </c>
      <c r="H26" s="1">
        <v>13.3</v>
      </c>
    </row>
    <row r="27" spans="1:8" x14ac:dyDescent="0.25">
      <c r="A27" s="2">
        <v>44588</v>
      </c>
      <c r="B27" s="1">
        <v>18</v>
      </c>
      <c r="C27" s="1">
        <v>45</v>
      </c>
      <c r="D27" s="1">
        <v>3.95</v>
      </c>
      <c r="E27" s="1" t="s">
        <v>215</v>
      </c>
      <c r="F27" s="1">
        <v>16</v>
      </c>
      <c r="G27" s="1">
        <v>11</v>
      </c>
      <c r="H27" s="1">
        <v>13.8</v>
      </c>
    </row>
    <row r="28" spans="1:8" x14ac:dyDescent="0.25">
      <c r="A28" s="2">
        <v>44589</v>
      </c>
      <c r="B28" s="1">
        <v>18</v>
      </c>
      <c r="C28" s="1">
        <v>44</v>
      </c>
      <c r="D28" s="1">
        <v>44.95</v>
      </c>
      <c r="E28" s="1" t="s">
        <v>215</v>
      </c>
      <c r="F28" s="1">
        <v>16</v>
      </c>
      <c r="G28" s="1">
        <v>11</v>
      </c>
      <c r="H28" s="1">
        <v>36.5</v>
      </c>
    </row>
    <row r="29" spans="1:8" x14ac:dyDescent="0.25">
      <c r="A29" s="2">
        <v>44590</v>
      </c>
      <c r="B29" s="1">
        <v>18</v>
      </c>
      <c r="C29" s="1">
        <v>44</v>
      </c>
      <c r="D29" s="1">
        <v>36.35</v>
      </c>
      <c r="E29" s="1" t="s">
        <v>215</v>
      </c>
      <c r="F29" s="1">
        <v>16</v>
      </c>
      <c r="G29" s="1">
        <v>12</v>
      </c>
      <c r="H29" s="1">
        <v>19.899999999999999</v>
      </c>
    </row>
    <row r="30" spans="1:8" x14ac:dyDescent="0.25">
      <c r="A30" s="2">
        <v>44591</v>
      </c>
      <c r="B30" s="1">
        <v>18</v>
      </c>
      <c r="C30" s="1">
        <v>44</v>
      </c>
      <c r="D30" s="1">
        <v>38.01</v>
      </c>
      <c r="E30" s="1" t="s">
        <v>215</v>
      </c>
      <c r="F30" s="1">
        <v>16</v>
      </c>
      <c r="G30" s="1">
        <v>13</v>
      </c>
      <c r="H30" s="1">
        <v>22.3</v>
      </c>
    </row>
    <row r="31" spans="1:8" x14ac:dyDescent="0.25">
      <c r="A31" s="2">
        <v>44592</v>
      </c>
      <c r="B31" s="1">
        <v>18</v>
      </c>
      <c r="C31" s="1">
        <v>44</v>
      </c>
      <c r="D31" s="1">
        <v>49.75</v>
      </c>
      <c r="E31" s="1" t="s">
        <v>215</v>
      </c>
      <c r="F31" s="1">
        <v>16</v>
      </c>
      <c r="G31" s="1">
        <v>14</v>
      </c>
      <c r="H31" s="1">
        <v>42.1</v>
      </c>
    </row>
    <row r="32" spans="1:8" x14ac:dyDescent="0.25">
      <c r="A32" s="2">
        <v>44593</v>
      </c>
      <c r="B32" s="1">
        <v>18</v>
      </c>
      <c r="C32" s="1">
        <v>45</v>
      </c>
      <c r="D32" s="1">
        <v>11.38</v>
      </c>
      <c r="E32" s="1" t="s">
        <v>215</v>
      </c>
      <c r="F32" s="1">
        <v>16</v>
      </c>
      <c r="G32" s="1">
        <v>16</v>
      </c>
      <c r="H32" s="1">
        <v>17.600000000000001</v>
      </c>
    </row>
    <row r="33" spans="1:8" x14ac:dyDescent="0.25">
      <c r="A33" s="2">
        <v>44594</v>
      </c>
      <c r="B33" s="1">
        <v>18</v>
      </c>
      <c r="C33" s="1">
        <v>45</v>
      </c>
      <c r="D33" s="1">
        <v>42.67</v>
      </c>
      <c r="E33" s="1" t="s">
        <v>215</v>
      </c>
      <c r="F33" s="1">
        <v>16</v>
      </c>
      <c r="G33" s="1">
        <v>18</v>
      </c>
      <c r="H33" s="1">
        <v>6.9</v>
      </c>
    </row>
    <row r="34" spans="1:8" x14ac:dyDescent="0.25">
      <c r="A34" s="2">
        <v>44595</v>
      </c>
      <c r="B34" s="1">
        <v>18</v>
      </c>
      <c r="C34" s="1">
        <v>46</v>
      </c>
      <c r="D34" s="1">
        <v>23.4</v>
      </c>
      <c r="E34" s="1" t="s">
        <v>215</v>
      </c>
      <c r="F34" s="1">
        <v>16</v>
      </c>
      <c r="G34" s="1">
        <v>20</v>
      </c>
      <c r="H34" s="1">
        <v>8.3000000000000007</v>
      </c>
    </row>
    <row r="35" spans="1:8" x14ac:dyDescent="0.25">
      <c r="A35" s="2">
        <v>44596</v>
      </c>
      <c r="B35" s="1">
        <v>18</v>
      </c>
      <c r="C35" s="1">
        <v>47</v>
      </c>
      <c r="D35" s="1">
        <v>13.31</v>
      </c>
      <c r="E35" s="1" t="s">
        <v>215</v>
      </c>
      <c r="F35" s="1">
        <v>16</v>
      </c>
      <c r="G35" s="1">
        <v>22</v>
      </c>
      <c r="H35" s="1">
        <v>20.100000000000001</v>
      </c>
    </row>
    <row r="36" spans="1:8" x14ac:dyDescent="0.25">
      <c r="A36" s="2">
        <v>44597</v>
      </c>
      <c r="B36" s="1">
        <v>18</v>
      </c>
      <c r="C36" s="1">
        <v>48</v>
      </c>
      <c r="D36" s="1">
        <v>12.17</v>
      </c>
      <c r="E36" s="1" t="s">
        <v>215</v>
      </c>
      <c r="F36" s="1">
        <v>16</v>
      </c>
      <c r="G36" s="1">
        <v>24</v>
      </c>
      <c r="H36" s="1">
        <v>40.6</v>
      </c>
    </row>
    <row r="37" spans="1:8" x14ac:dyDescent="0.25">
      <c r="A37" s="2">
        <v>44598</v>
      </c>
      <c r="B37" s="1">
        <v>18</v>
      </c>
      <c r="C37" s="1">
        <v>49</v>
      </c>
      <c r="D37" s="1">
        <v>19.72</v>
      </c>
      <c r="E37" s="1" t="s">
        <v>215</v>
      </c>
      <c r="F37" s="1">
        <v>16</v>
      </c>
      <c r="G37" s="1">
        <v>27</v>
      </c>
      <c r="H37" s="1">
        <v>7.9</v>
      </c>
    </row>
    <row r="38" spans="1:8" x14ac:dyDescent="0.25">
      <c r="A38" s="2">
        <v>44599</v>
      </c>
      <c r="B38" s="1">
        <v>18</v>
      </c>
      <c r="C38" s="1">
        <v>50</v>
      </c>
      <c r="D38" s="1">
        <v>35.700000000000003</v>
      </c>
      <c r="E38" s="1" t="s">
        <v>215</v>
      </c>
      <c r="F38" s="1">
        <v>16</v>
      </c>
      <c r="G38" s="1">
        <v>29</v>
      </c>
      <c r="H38" s="1">
        <v>40.4</v>
      </c>
    </row>
    <row r="39" spans="1:8" x14ac:dyDescent="0.25">
      <c r="A39" s="2">
        <v>44600</v>
      </c>
      <c r="B39" s="1">
        <v>18</v>
      </c>
      <c r="C39" s="1">
        <v>51</v>
      </c>
      <c r="D39" s="1">
        <v>59.85</v>
      </c>
      <c r="E39" s="1" t="s">
        <v>215</v>
      </c>
      <c r="F39" s="1">
        <v>16</v>
      </c>
      <c r="G39" s="1">
        <v>32</v>
      </c>
      <c r="H39" s="1">
        <v>16.3</v>
      </c>
    </row>
    <row r="40" spans="1:8" x14ac:dyDescent="0.25">
      <c r="A40" s="2">
        <v>44601</v>
      </c>
      <c r="B40" s="1">
        <v>18</v>
      </c>
      <c r="C40" s="1">
        <v>53</v>
      </c>
      <c r="D40" s="1">
        <v>31.92</v>
      </c>
      <c r="E40" s="1" t="s">
        <v>215</v>
      </c>
      <c r="F40" s="1">
        <v>16</v>
      </c>
      <c r="G40" s="1">
        <v>34</v>
      </c>
      <c r="H40" s="1">
        <v>53.9</v>
      </c>
    </row>
    <row r="41" spans="1:8" x14ac:dyDescent="0.25">
      <c r="A41" s="2">
        <v>44602</v>
      </c>
      <c r="B41" s="1">
        <v>18</v>
      </c>
      <c r="C41" s="1">
        <v>55</v>
      </c>
      <c r="D41" s="1">
        <v>11.65</v>
      </c>
      <c r="E41" s="1" t="s">
        <v>215</v>
      </c>
      <c r="F41" s="1">
        <v>16</v>
      </c>
      <c r="G41" s="1">
        <v>37</v>
      </c>
      <c r="H41" s="1">
        <v>31.6</v>
      </c>
    </row>
    <row r="42" spans="1:8" x14ac:dyDescent="0.25">
      <c r="A42" s="2">
        <v>44603</v>
      </c>
      <c r="B42" s="1">
        <v>18</v>
      </c>
      <c r="C42" s="1">
        <v>56</v>
      </c>
      <c r="D42" s="1">
        <v>58.78</v>
      </c>
      <c r="E42" s="1" t="s">
        <v>215</v>
      </c>
      <c r="F42" s="1">
        <v>16</v>
      </c>
      <c r="G42" s="1">
        <v>40</v>
      </c>
      <c r="H42" s="1">
        <v>7.7</v>
      </c>
    </row>
    <row r="43" spans="1:8" x14ac:dyDescent="0.25">
      <c r="A43" s="2">
        <v>44604</v>
      </c>
      <c r="B43" s="1">
        <v>18</v>
      </c>
      <c r="C43" s="1">
        <v>58</v>
      </c>
      <c r="D43" s="1">
        <v>53.06</v>
      </c>
      <c r="E43" s="1" t="s">
        <v>215</v>
      </c>
      <c r="F43" s="1">
        <v>16</v>
      </c>
      <c r="G43" s="1">
        <v>42</v>
      </c>
      <c r="H43" s="1">
        <v>40.6</v>
      </c>
    </row>
    <row r="44" spans="1:8" x14ac:dyDescent="0.25">
      <c r="A44" s="2">
        <v>44605</v>
      </c>
      <c r="B44" s="1">
        <v>19</v>
      </c>
      <c r="C44" s="1">
        <v>0</v>
      </c>
      <c r="D44" s="1">
        <v>54.25</v>
      </c>
      <c r="E44" s="1" t="s">
        <v>215</v>
      </c>
      <c r="F44" s="1">
        <v>16</v>
      </c>
      <c r="G44" s="1">
        <v>45</v>
      </c>
      <c r="H44" s="1">
        <v>8.9</v>
      </c>
    </row>
    <row r="45" spans="1:8" x14ac:dyDescent="0.25">
      <c r="A45" s="2">
        <v>44606</v>
      </c>
      <c r="B45" s="1">
        <v>19</v>
      </c>
      <c r="C45" s="1">
        <v>3</v>
      </c>
      <c r="D45" s="1">
        <v>2.09</v>
      </c>
      <c r="E45" s="1" t="s">
        <v>215</v>
      </c>
      <c r="F45" s="1">
        <v>16</v>
      </c>
      <c r="G45" s="1">
        <v>47</v>
      </c>
      <c r="H45" s="1">
        <v>30.9</v>
      </c>
    </row>
    <row r="46" spans="1:8" x14ac:dyDescent="0.25">
      <c r="A46" s="2">
        <v>44607</v>
      </c>
      <c r="B46" s="1">
        <v>19</v>
      </c>
      <c r="C46" s="1">
        <v>5</v>
      </c>
      <c r="D46" s="1">
        <v>16.350000000000001</v>
      </c>
      <c r="E46" s="1" t="s">
        <v>215</v>
      </c>
      <c r="F46" s="1">
        <v>16</v>
      </c>
      <c r="G46" s="1">
        <v>49</v>
      </c>
      <c r="H46" s="1">
        <v>45.2</v>
      </c>
    </row>
    <row r="47" spans="1:8" x14ac:dyDescent="0.25">
      <c r="A47" s="2">
        <v>44608</v>
      </c>
      <c r="B47" s="1">
        <v>19</v>
      </c>
      <c r="C47" s="1">
        <v>7</v>
      </c>
      <c r="D47" s="1">
        <v>36.79</v>
      </c>
      <c r="E47" s="1" t="s">
        <v>215</v>
      </c>
      <c r="F47" s="1">
        <v>16</v>
      </c>
      <c r="G47" s="1">
        <v>51</v>
      </c>
      <c r="H47" s="1">
        <v>50.4</v>
      </c>
    </row>
    <row r="48" spans="1:8" x14ac:dyDescent="0.25">
      <c r="A48" s="2">
        <v>44609</v>
      </c>
      <c r="B48" s="1">
        <v>19</v>
      </c>
      <c r="C48" s="1">
        <v>10</v>
      </c>
      <c r="D48" s="1">
        <v>3.18</v>
      </c>
      <c r="E48" s="1" t="s">
        <v>215</v>
      </c>
      <c r="F48" s="1">
        <v>16</v>
      </c>
      <c r="G48" s="1">
        <v>53</v>
      </c>
      <c r="H48" s="1">
        <v>45.1</v>
      </c>
    </row>
    <row r="49" spans="1:8" x14ac:dyDescent="0.25">
      <c r="A49" s="2">
        <v>44610</v>
      </c>
      <c r="B49" s="1">
        <v>19</v>
      </c>
      <c r="C49" s="1">
        <v>12</v>
      </c>
      <c r="D49" s="1">
        <v>35.299999999999997</v>
      </c>
      <c r="E49" s="1" t="s">
        <v>215</v>
      </c>
      <c r="F49" s="1">
        <v>16</v>
      </c>
      <c r="G49" s="1">
        <v>55</v>
      </c>
      <c r="H49" s="1">
        <v>28</v>
      </c>
    </row>
    <row r="50" spans="1:8" x14ac:dyDescent="0.25">
      <c r="A50" s="2">
        <v>44611</v>
      </c>
      <c r="B50" s="1">
        <v>19</v>
      </c>
      <c r="C50" s="1">
        <v>15</v>
      </c>
      <c r="D50" s="1">
        <v>12.91</v>
      </c>
      <c r="E50" s="1" t="s">
        <v>215</v>
      </c>
      <c r="F50" s="1">
        <v>16</v>
      </c>
      <c r="G50" s="1">
        <v>56</v>
      </c>
      <c r="H50" s="1">
        <v>57.8</v>
      </c>
    </row>
    <row r="51" spans="1:8" x14ac:dyDescent="0.25">
      <c r="A51" s="2">
        <v>44612</v>
      </c>
      <c r="B51" s="1">
        <v>19</v>
      </c>
      <c r="C51" s="1">
        <v>17</v>
      </c>
      <c r="D51" s="1">
        <v>55.81</v>
      </c>
      <c r="E51" s="1" t="s">
        <v>215</v>
      </c>
      <c r="F51" s="1">
        <v>16</v>
      </c>
      <c r="G51" s="1">
        <v>58</v>
      </c>
      <c r="H51" s="1">
        <v>13.4</v>
      </c>
    </row>
    <row r="52" spans="1:8" x14ac:dyDescent="0.25">
      <c r="A52" s="2">
        <v>44613</v>
      </c>
      <c r="B52" s="1">
        <v>19</v>
      </c>
      <c r="C52" s="1">
        <v>20</v>
      </c>
      <c r="D52" s="1">
        <v>43.77</v>
      </c>
      <c r="E52" s="1" t="s">
        <v>215</v>
      </c>
      <c r="F52" s="1">
        <v>16</v>
      </c>
      <c r="G52" s="1">
        <v>59</v>
      </c>
      <c r="H52" s="1">
        <v>13.4</v>
      </c>
    </row>
    <row r="53" spans="1:8" x14ac:dyDescent="0.25">
      <c r="A53" s="2">
        <v>44614</v>
      </c>
      <c r="B53" s="1">
        <v>19</v>
      </c>
      <c r="C53" s="1">
        <v>23</v>
      </c>
      <c r="D53" s="1">
        <v>36.6</v>
      </c>
      <c r="E53" s="1" t="s">
        <v>215</v>
      </c>
      <c r="F53" s="1">
        <v>16</v>
      </c>
      <c r="G53" s="1">
        <v>59</v>
      </c>
      <c r="H53" s="1">
        <v>56.9</v>
      </c>
    </row>
    <row r="54" spans="1:8" x14ac:dyDescent="0.25">
      <c r="A54" s="2">
        <v>44615</v>
      </c>
      <c r="B54" s="1">
        <v>19</v>
      </c>
      <c r="C54" s="1">
        <v>26</v>
      </c>
      <c r="D54" s="1">
        <v>34.08</v>
      </c>
      <c r="E54" s="1" t="s">
        <v>215</v>
      </c>
      <c r="F54" s="1">
        <v>17</v>
      </c>
      <c r="G54" s="1">
        <v>0</v>
      </c>
      <c r="H54" s="1">
        <v>22.8</v>
      </c>
    </row>
    <row r="55" spans="1:8" x14ac:dyDescent="0.25">
      <c r="A55" s="2">
        <v>44616</v>
      </c>
      <c r="B55" s="1">
        <v>19</v>
      </c>
      <c r="C55" s="1">
        <v>29</v>
      </c>
      <c r="D55" s="1">
        <v>36.01</v>
      </c>
      <c r="E55" s="1" t="s">
        <v>215</v>
      </c>
      <c r="F55" s="1">
        <v>17</v>
      </c>
      <c r="G55" s="1">
        <v>0</v>
      </c>
      <c r="H55" s="1">
        <v>30</v>
      </c>
    </row>
    <row r="56" spans="1:8" x14ac:dyDescent="0.25">
      <c r="A56" s="2">
        <v>44617</v>
      </c>
      <c r="B56" s="1">
        <v>19</v>
      </c>
      <c r="C56" s="1">
        <v>32</v>
      </c>
      <c r="D56" s="1">
        <v>42.19</v>
      </c>
      <c r="E56" s="1" t="s">
        <v>215</v>
      </c>
      <c r="F56" s="1">
        <v>17</v>
      </c>
      <c r="G56" s="1">
        <v>0</v>
      </c>
      <c r="H56" s="1">
        <v>17.7</v>
      </c>
    </row>
    <row r="57" spans="1:8" x14ac:dyDescent="0.25">
      <c r="A57" s="2">
        <v>44618</v>
      </c>
      <c r="B57" s="1">
        <v>19</v>
      </c>
      <c r="C57" s="1">
        <v>35</v>
      </c>
      <c r="D57" s="1">
        <v>52.42</v>
      </c>
      <c r="E57" s="1" t="s">
        <v>215</v>
      </c>
      <c r="F57" s="1">
        <v>16</v>
      </c>
      <c r="G57" s="1">
        <v>59</v>
      </c>
      <c r="H57" s="1">
        <v>45</v>
      </c>
    </row>
    <row r="58" spans="1:8" x14ac:dyDescent="0.25">
      <c r="A58" s="2">
        <v>44619</v>
      </c>
      <c r="B58" s="1">
        <v>19</v>
      </c>
      <c r="C58" s="1">
        <v>39</v>
      </c>
      <c r="D58" s="1">
        <v>6.53</v>
      </c>
      <c r="E58" s="1" t="s">
        <v>215</v>
      </c>
      <c r="F58" s="1">
        <v>16</v>
      </c>
      <c r="G58" s="1">
        <v>58</v>
      </c>
      <c r="H58" s="1">
        <v>51.1</v>
      </c>
    </row>
    <row r="59" spans="1:8" x14ac:dyDescent="0.25">
      <c r="A59" s="2">
        <v>44620</v>
      </c>
      <c r="B59" s="1">
        <v>19</v>
      </c>
      <c r="C59" s="1">
        <v>42</v>
      </c>
      <c r="D59" s="1">
        <v>24.32</v>
      </c>
      <c r="E59" s="1" t="s">
        <v>215</v>
      </c>
      <c r="F59" s="1">
        <v>16</v>
      </c>
      <c r="G59" s="1">
        <v>57</v>
      </c>
      <c r="H59" s="1">
        <v>35.200000000000003</v>
      </c>
    </row>
    <row r="60" spans="1:8" x14ac:dyDescent="0.25">
      <c r="A60" s="2" t="s">
        <v>0</v>
      </c>
      <c r="B60" s="1">
        <v>19</v>
      </c>
      <c r="C60" s="1">
        <v>45</v>
      </c>
      <c r="D60" s="1">
        <v>45.62</v>
      </c>
      <c r="E60" s="1" t="s">
        <v>215</v>
      </c>
      <c r="F60" s="1">
        <v>16</v>
      </c>
      <c r="G60" s="1">
        <v>55</v>
      </c>
      <c r="H60" s="1">
        <v>56.6</v>
      </c>
    </row>
    <row r="61" spans="1:8" x14ac:dyDescent="0.25">
      <c r="A61" s="2" t="s">
        <v>1</v>
      </c>
      <c r="B61" s="1">
        <v>19</v>
      </c>
      <c r="C61" s="1">
        <v>49</v>
      </c>
      <c r="D61" s="1">
        <v>10.25</v>
      </c>
      <c r="E61" s="1" t="s">
        <v>215</v>
      </c>
      <c r="F61" s="1">
        <v>16</v>
      </c>
      <c r="G61" s="1">
        <v>53</v>
      </c>
      <c r="H61" s="1">
        <v>54.7</v>
      </c>
    </row>
    <row r="62" spans="1:8" x14ac:dyDescent="0.25">
      <c r="A62" s="2" t="s">
        <v>2</v>
      </c>
      <c r="B62" s="1">
        <v>19</v>
      </c>
      <c r="C62" s="1">
        <v>52</v>
      </c>
      <c r="D62" s="1">
        <v>38.04</v>
      </c>
      <c r="E62" s="1" t="s">
        <v>215</v>
      </c>
      <c r="F62" s="1">
        <v>16</v>
      </c>
      <c r="G62" s="1">
        <v>51</v>
      </c>
      <c r="H62" s="1">
        <v>29</v>
      </c>
    </row>
    <row r="63" spans="1:8" x14ac:dyDescent="0.25">
      <c r="A63" s="2" t="s">
        <v>3</v>
      </c>
      <c r="B63" s="1">
        <v>19</v>
      </c>
      <c r="C63" s="1">
        <v>56</v>
      </c>
      <c r="D63" s="1">
        <v>8.86</v>
      </c>
      <c r="E63" s="1" t="s">
        <v>215</v>
      </c>
      <c r="F63" s="1">
        <v>16</v>
      </c>
      <c r="G63" s="1">
        <v>48</v>
      </c>
      <c r="H63" s="1">
        <v>38.799999999999997</v>
      </c>
    </row>
    <row r="64" spans="1:8" x14ac:dyDescent="0.25">
      <c r="A64" s="2" t="s">
        <v>4</v>
      </c>
      <c r="B64" s="1">
        <v>19</v>
      </c>
      <c r="C64" s="1">
        <v>59</v>
      </c>
      <c r="D64" s="1">
        <v>42.53</v>
      </c>
      <c r="E64" s="1" t="s">
        <v>215</v>
      </c>
      <c r="F64" s="1">
        <v>16</v>
      </c>
      <c r="G64" s="1">
        <v>45</v>
      </c>
      <c r="H64" s="1">
        <v>23.7</v>
      </c>
    </row>
    <row r="65" spans="1:8" x14ac:dyDescent="0.25">
      <c r="A65" s="2" t="s">
        <v>5</v>
      </c>
      <c r="B65" s="1">
        <v>20</v>
      </c>
      <c r="C65" s="1">
        <v>3</v>
      </c>
      <c r="D65" s="1">
        <v>18.920000000000002</v>
      </c>
      <c r="E65" s="1" t="s">
        <v>215</v>
      </c>
      <c r="F65" s="1">
        <v>16</v>
      </c>
      <c r="G65" s="1">
        <v>41</v>
      </c>
      <c r="H65" s="1">
        <v>43.2</v>
      </c>
    </row>
    <row r="66" spans="1:8" x14ac:dyDescent="0.25">
      <c r="A66" s="2" t="s">
        <v>6</v>
      </c>
      <c r="B66" s="1">
        <v>20</v>
      </c>
      <c r="C66" s="1">
        <v>6</v>
      </c>
      <c r="D66" s="1">
        <v>57.9</v>
      </c>
      <c r="E66" s="1" t="s">
        <v>215</v>
      </c>
      <c r="F66" s="1">
        <v>16</v>
      </c>
      <c r="G66" s="1">
        <v>37</v>
      </c>
      <c r="H66" s="1">
        <v>37</v>
      </c>
    </row>
    <row r="67" spans="1:8" x14ac:dyDescent="0.25">
      <c r="A67" s="2" t="s">
        <v>7</v>
      </c>
      <c r="B67" s="1">
        <v>20</v>
      </c>
      <c r="C67" s="1">
        <v>10</v>
      </c>
      <c r="D67" s="1">
        <v>39.33</v>
      </c>
      <c r="E67" s="1" t="s">
        <v>215</v>
      </c>
      <c r="F67" s="1">
        <v>16</v>
      </c>
      <c r="G67" s="1">
        <v>33</v>
      </c>
      <c r="H67" s="1">
        <v>4.5999999999999996</v>
      </c>
    </row>
    <row r="68" spans="1:8" x14ac:dyDescent="0.25">
      <c r="A68" s="2" t="s">
        <v>8</v>
      </c>
      <c r="B68" s="1">
        <v>20</v>
      </c>
      <c r="C68" s="1">
        <v>14</v>
      </c>
      <c r="D68" s="1">
        <v>23.08</v>
      </c>
      <c r="E68" s="1" t="s">
        <v>215</v>
      </c>
      <c r="F68" s="1">
        <v>16</v>
      </c>
      <c r="G68" s="1">
        <v>28</v>
      </c>
      <c r="H68" s="1">
        <v>5.6</v>
      </c>
    </row>
    <row r="69" spans="1:8" x14ac:dyDescent="0.25">
      <c r="A69" s="2" t="s">
        <v>9</v>
      </c>
      <c r="B69" s="1">
        <v>20</v>
      </c>
      <c r="C69" s="1">
        <v>18</v>
      </c>
      <c r="D69" s="1">
        <v>9.0500000000000007</v>
      </c>
      <c r="E69" s="1" t="s">
        <v>215</v>
      </c>
      <c r="F69" s="1">
        <v>16</v>
      </c>
      <c r="G69" s="1">
        <v>22</v>
      </c>
      <c r="H69" s="1">
        <v>39.9</v>
      </c>
    </row>
    <row r="70" spans="1:8" x14ac:dyDescent="0.25">
      <c r="A70" s="2" t="s">
        <v>10</v>
      </c>
      <c r="B70" s="1">
        <v>20</v>
      </c>
      <c r="C70" s="1">
        <v>21</v>
      </c>
      <c r="D70" s="1">
        <v>57.1</v>
      </c>
      <c r="E70" s="1" t="s">
        <v>215</v>
      </c>
      <c r="F70" s="1">
        <v>16</v>
      </c>
      <c r="G70" s="1">
        <v>16</v>
      </c>
      <c r="H70" s="1">
        <v>47.1</v>
      </c>
    </row>
    <row r="71" spans="1:8" x14ac:dyDescent="0.25">
      <c r="A71" s="2" t="s">
        <v>11</v>
      </c>
      <c r="B71" s="1">
        <v>20</v>
      </c>
      <c r="C71" s="1">
        <v>25</v>
      </c>
      <c r="D71" s="1">
        <v>47.13</v>
      </c>
      <c r="E71" s="1" t="s">
        <v>215</v>
      </c>
      <c r="F71" s="1">
        <v>16</v>
      </c>
      <c r="G71" s="1">
        <v>10</v>
      </c>
      <c r="H71" s="1">
        <v>26.9</v>
      </c>
    </row>
    <row r="72" spans="1:8" x14ac:dyDescent="0.25">
      <c r="A72" s="2" t="s">
        <v>12</v>
      </c>
      <c r="B72" s="1">
        <v>20</v>
      </c>
      <c r="C72" s="1">
        <v>29</v>
      </c>
      <c r="D72" s="1">
        <v>39.03</v>
      </c>
      <c r="E72" s="1" t="s">
        <v>215</v>
      </c>
      <c r="F72" s="1">
        <v>16</v>
      </c>
      <c r="G72" s="1">
        <v>3</v>
      </c>
      <c r="H72" s="1">
        <v>39.200000000000003</v>
      </c>
    </row>
    <row r="73" spans="1:8" x14ac:dyDescent="0.25">
      <c r="A73" s="2" t="s">
        <v>13</v>
      </c>
      <c r="B73" s="1">
        <v>20</v>
      </c>
      <c r="C73" s="1">
        <v>33</v>
      </c>
      <c r="D73" s="1">
        <v>32.700000000000003</v>
      </c>
      <c r="E73" s="1" t="s">
        <v>215</v>
      </c>
      <c r="F73" s="1">
        <v>15</v>
      </c>
      <c r="G73" s="1">
        <v>56</v>
      </c>
      <c r="H73" s="1">
        <v>23.7</v>
      </c>
    </row>
    <row r="74" spans="1:8" x14ac:dyDescent="0.25">
      <c r="A74" s="2" t="s">
        <v>14</v>
      </c>
      <c r="B74" s="1">
        <v>20</v>
      </c>
      <c r="C74" s="1">
        <v>37</v>
      </c>
      <c r="D74" s="1">
        <v>28.05</v>
      </c>
      <c r="E74" s="1" t="s">
        <v>215</v>
      </c>
      <c r="F74" s="1">
        <v>15</v>
      </c>
      <c r="G74" s="1">
        <v>48</v>
      </c>
      <c r="H74" s="1">
        <v>40.5</v>
      </c>
    </row>
    <row r="75" spans="1:8" x14ac:dyDescent="0.25">
      <c r="A75" s="2" t="s">
        <v>15</v>
      </c>
      <c r="B75" s="1">
        <v>20</v>
      </c>
      <c r="C75" s="1">
        <v>41</v>
      </c>
      <c r="D75" s="1">
        <v>24.97</v>
      </c>
      <c r="E75" s="1" t="s">
        <v>215</v>
      </c>
      <c r="F75" s="1">
        <v>15</v>
      </c>
      <c r="G75" s="1">
        <v>40</v>
      </c>
      <c r="H75" s="1">
        <v>29.2</v>
      </c>
    </row>
    <row r="76" spans="1:8" x14ac:dyDescent="0.25">
      <c r="A76" s="2" t="s">
        <v>16</v>
      </c>
      <c r="B76" s="1">
        <v>20</v>
      </c>
      <c r="C76" s="1">
        <v>45</v>
      </c>
      <c r="D76" s="1">
        <v>23.37</v>
      </c>
      <c r="E76" s="1" t="s">
        <v>215</v>
      </c>
      <c r="F76" s="1">
        <v>15</v>
      </c>
      <c r="G76" s="1">
        <v>31</v>
      </c>
      <c r="H76" s="1">
        <v>49.9</v>
      </c>
    </row>
    <row r="77" spans="1:8" x14ac:dyDescent="0.25">
      <c r="A77" s="2" t="s">
        <v>17</v>
      </c>
      <c r="B77" s="1">
        <v>20</v>
      </c>
      <c r="C77" s="1">
        <v>49</v>
      </c>
      <c r="D77" s="1">
        <v>23.17</v>
      </c>
      <c r="E77" s="1" t="s">
        <v>215</v>
      </c>
      <c r="F77" s="1">
        <v>15</v>
      </c>
      <c r="G77" s="1">
        <v>22</v>
      </c>
      <c r="H77" s="1">
        <v>42.5</v>
      </c>
    </row>
    <row r="78" spans="1:8" x14ac:dyDescent="0.25">
      <c r="A78" s="2" t="s">
        <v>18</v>
      </c>
      <c r="B78" s="1">
        <v>20</v>
      </c>
      <c r="C78" s="1">
        <v>53</v>
      </c>
      <c r="D78" s="1">
        <v>24.28</v>
      </c>
      <c r="E78" s="1" t="s">
        <v>215</v>
      </c>
      <c r="F78" s="1">
        <v>15</v>
      </c>
      <c r="G78" s="1">
        <v>13</v>
      </c>
      <c r="H78" s="1">
        <v>7</v>
      </c>
    </row>
    <row r="79" spans="1:8" x14ac:dyDescent="0.25">
      <c r="A79" s="2" t="s">
        <v>19</v>
      </c>
      <c r="B79" s="1">
        <v>20</v>
      </c>
      <c r="C79" s="1">
        <v>57</v>
      </c>
      <c r="D79" s="1">
        <v>26.62</v>
      </c>
      <c r="E79" s="1" t="s">
        <v>215</v>
      </c>
      <c r="F79" s="1">
        <v>15</v>
      </c>
      <c r="G79" s="1">
        <v>3</v>
      </c>
      <c r="H79" s="1">
        <v>3.4</v>
      </c>
    </row>
    <row r="80" spans="1:8" x14ac:dyDescent="0.25">
      <c r="A80" s="2" t="s">
        <v>20</v>
      </c>
      <c r="B80" s="1">
        <v>21</v>
      </c>
      <c r="C80" s="1">
        <v>1</v>
      </c>
      <c r="D80" s="1">
        <v>30.11</v>
      </c>
      <c r="E80" s="1" t="s">
        <v>215</v>
      </c>
      <c r="F80" s="1">
        <v>14</v>
      </c>
      <c r="G80" s="1">
        <v>52</v>
      </c>
      <c r="H80" s="1">
        <v>31.8</v>
      </c>
    </row>
    <row r="81" spans="1:8" x14ac:dyDescent="0.25">
      <c r="A81" s="2" t="s">
        <v>21</v>
      </c>
      <c r="B81" s="1">
        <v>21</v>
      </c>
      <c r="C81" s="1">
        <v>5</v>
      </c>
      <c r="D81" s="1">
        <v>34.68</v>
      </c>
      <c r="E81" s="1" t="s">
        <v>215</v>
      </c>
      <c r="F81" s="1">
        <v>14</v>
      </c>
      <c r="G81" s="1">
        <v>41</v>
      </c>
      <c r="H81" s="1">
        <v>32.1</v>
      </c>
    </row>
    <row r="82" spans="1:8" x14ac:dyDescent="0.25">
      <c r="A82" s="2" t="s">
        <v>22</v>
      </c>
      <c r="B82" s="1">
        <v>21</v>
      </c>
      <c r="C82" s="1">
        <v>9</v>
      </c>
      <c r="D82" s="1">
        <v>40.24</v>
      </c>
      <c r="E82" s="1" t="s">
        <v>215</v>
      </c>
      <c r="F82" s="1">
        <v>14</v>
      </c>
      <c r="G82" s="1">
        <v>30</v>
      </c>
      <c r="H82" s="1">
        <v>4.5999999999999996</v>
      </c>
    </row>
    <row r="83" spans="1:8" x14ac:dyDescent="0.25">
      <c r="A83" s="2" t="s">
        <v>23</v>
      </c>
      <c r="B83" s="1">
        <v>21</v>
      </c>
      <c r="C83" s="1">
        <v>13</v>
      </c>
      <c r="D83" s="1">
        <v>46.71</v>
      </c>
      <c r="E83" s="1" t="s">
        <v>215</v>
      </c>
      <c r="F83" s="1">
        <v>14</v>
      </c>
      <c r="G83" s="1">
        <v>18</v>
      </c>
      <c r="H83" s="1">
        <v>9.4</v>
      </c>
    </row>
    <row r="84" spans="1:8" x14ac:dyDescent="0.25">
      <c r="A84" s="2" t="s">
        <v>24</v>
      </c>
      <c r="B84" s="1">
        <v>21</v>
      </c>
      <c r="C84" s="1">
        <v>17</v>
      </c>
      <c r="D84" s="1">
        <v>54.04</v>
      </c>
      <c r="E84" s="1" t="s">
        <v>215</v>
      </c>
      <c r="F84" s="1">
        <v>14</v>
      </c>
      <c r="G84" s="1">
        <v>5</v>
      </c>
      <c r="H84" s="1">
        <v>46.6</v>
      </c>
    </row>
    <row r="85" spans="1:8" x14ac:dyDescent="0.25">
      <c r="A85" s="2" t="s">
        <v>25</v>
      </c>
      <c r="B85" s="1">
        <v>21</v>
      </c>
      <c r="C85" s="1">
        <v>22</v>
      </c>
      <c r="D85" s="1">
        <v>2.15</v>
      </c>
      <c r="E85" s="1" t="s">
        <v>215</v>
      </c>
      <c r="F85" s="1">
        <v>13</v>
      </c>
      <c r="G85" s="1">
        <v>52</v>
      </c>
      <c r="H85" s="1">
        <v>56.5</v>
      </c>
    </row>
    <row r="86" spans="1:8" x14ac:dyDescent="0.25">
      <c r="A86" s="2" t="s">
        <v>26</v>
      </c>
      <c r="B86" s="1">
        <v>21</v>
      </c>
      <c r="C86" s="1">
        <v>26</v>
      </c>
      <c r="D86" s="1">
        <v>10.96</v>
      </c>
      <c r="E86" s="1" t="s">
        <v>215</v>
      </c>
      <c r="F86" s="1">
        <v>13</v>
      </c>
      <c r="G86" s="1">
        <v>39</v>
      </c>
      <c r="H86" s="1">
        <v>39.4</v>
      </c>
    </row>
    <row r="87" spans="1:8" x14ac:dyDescent="0.25">
      <c r="A87" s="2" t="s">
        <v>27</v>
      </c>
      <c r="B87" s="1">
        <v>21</v>
      </c>
      <c r="C87" s="1">
        <v>30</v>
      </c>
      <c r="D87" s="1">
        <v>20.420000000000002</v>
      </c>
      <c r="E87" s="1" t="s">
        <v>215</v>
      </c>
      <c r="F87" s="1">
        <v>13</v>
      </c>
      <c r="G87" s="1">
        <v>25</v>
      </c>
      <c r="H87" s="1">
        <v>55.5</v>
      </c>
    </row>
    <row r="88" spans="1:8" x14ac:dyDescent="0.25">
      <c r="A88" s="2" t="s">
        <v>28</v>
      </c>
      <c r="B88" s="1">
        <v>21</v>
      </c>
      <c r="C88" s="1">
        <v>34</v>
      </c>
      <c r="D88" s="1">
        <v>30.46</v>
      </c>
      <c r="E88" s="1" t="s">
        <v>215</v>
      </c>
      <c r="F88" s="1">
        <v>13</v>
      </c>
      <c r="G88" s="1">
        <v>11</v>
      </c>
      <c r="H88" s="1">
        <v>45.2</v>
      </c>
    </row>
    <row r="89" spans="1:8" x14ac:dyDescent="0.25">
      <c r="A89" s="2" t="s">
        <v>29</v>
      </c>
      <c r="B89" s="1">
        <v>21</v>
      </c>
      <c r="C89" s="1">
        <v>38</v>
      </c>
      <c r="D89" s="1">
        <v>41.03</v>
      </c>
      <c r="E89" s="1" t="s">
        <v>215</v>
      </c>
      <c r="F89" s="1">
        <v>12</v>
      </c>
      <c r="G89" s="1">
        <v>57</v>
      </c>
      <c r="H89" s="1">
        <v>8.6999999999999993</v>
      </c>
    </row>
    <row r="90" spans="1:8" x14ac:dyDescent="0.25">
      <c r="A90" s="2" t="s">
        <v>30</v>
      </c>
      <c r="B90" s="1">
        <v>21</v>
      </c>
      <c r="C90" s="1">
        <v>42</v>
      </c>
      <c r="D90" s="1">
        <v>52.06</v>
      </c>
      <c r="E90" s="1" t="s">
        <v>215</v>
      </c>
      <c r="F90" s="1">
        <v>12</v>
      </c>
      <c r="G90" s="1">
        <v>42</v>
      </c>
      <c r="H90" s="1">
        <v>6.5</v>
      </c>
    </row>
    <row r="91" spans="1:8" x14ac:dyDescent="0.25">
      <c r="A91" s="2" t="s">
        <v>31</v>
      </c>
      <c r="B91" s="1">
        <v>21</v>
      </c>
      <c r="C91" s="1">
        <v>47</v>
      </c>
      <c r="D91" s="1">
        <v>3.51</v>
      </c>
      <c r="E91" s="1" t="s">
        <v>215</v>
      </c>
      <c r="F91" s="1">
        <v>12</v>
      </c>
      <c r="G91" s="1">
        <v>26</v>
      </c>
      <c r="H91" s="1">
        <v>38.9</v>
      </c>
    </row>
    <row r="92" spans="1:8" x14ac:dyDescent="0.25">
      <c r="A92" s="2" t="s">
        <v>32</v>
      </c>
      <c r="B92" s="1">
        <v>21</v>
      </c>
      <c r="C92" s="1">
        <v>51</v>
      </c>
      <c r="D92" s="1">
        <v>15.33</v>
      </c>
      <c r="E92" s="1" t="s">
        <v>215</v>
      </c>
      <c r="F92" s="1">
        <v>12</v>
      </c>
      <c r="G92" s="1">
        <v>10</v>
      </c>
      <c r="H92" s="1">
        <v>46.4</v>
      </c>
    </row>
    <row r="93" spans="1:8" x14ac:dyDescent="0.25">
      <c r="A93" s="2" t="s">
        <v>33</v>
      </c>
      <c r="B93" s="1">
        <v>21</v>
      </c>
      <c r="C93" s="1">
        <v>55</v>
      </c>
      <c r="D93" s="1">
        <v>27.48</v>
      </c>
      <c r="E93" s="1" t="s">
        <v>215</v>
      </c>
      <c r="F93" s="1">
        <v>11</v>
      </c>
      <c r="G93" s="1">
        <v>54</v>
      </c>
      <c r="H93" s="1">
        <v>29.2</v>
      </c>
    </row>
    <row r="94" spans="1:8" x14ac:dyDescent="0.25">
      <c r="A94" s="2" t="s">
        <v>34</v>
      </c>
      <c r="B94" s="1">
        <v>21</v>
      </c>
      <c r="C94" s="1">
        <v>59</v>
      </c>
      <c r="D94" s="1">
        <v>39.909999999999997</v>
      </c>
      <c r="E94" s="1" t="s">
        <v>215</v>
      </c>
      <c r="F94" s="1">
        <v>11</v>
      </c>
      <c r="G94" s="1">
        <v>37</v>
      </c>
      <c r="H94" s="1">
        <v>47.9</v>
      </c>
    </row>
    <row r="95" spans="1:8" x14ac:dyDescent="0.25">
      <c r="A95" s="2" t="s">
        <v>35</v>
      </c>
      <c r="B95" s="1">
        <v>22</v>
      </c>
      <c r="C95" s="1">
        <v>3</v>
      </c>
      <c r="D95" s="1">
        <v>52.6</v>
      </c>
      <c r="E95" s="1" t="s">
        <v>215</v>
      </c>
      <c r="F95" s="1">
        <v>11</v>
      </c>
      <c r="G95" s="1">
        <v>20</v>
      </c>
      <c r="H95" s="1">
        <v>42.9</v>
      </c>
    </row>
    <row r="96" spans="1:8" x14ac:dyDescent="0.25">
      <c r="A96" s="2" t="s">
        <v>36</v>
      </c>
      <c r="B96" s="1">
        <v>22</v>
      </c>
      <c r="C96" s="1">
        <v>8</v>
      </c>
      <c r="D96" s="1">
        <v>5.51</v>
      </c>
      <c r="E96" s="1" t="s">
        <v>215</v>
      </c>
      <c r="F96" s="1">
        <v>11</v>
      </c>
      <c r="G96" s="1">
        <v>3</v>
      </c>
      <c r="H96" s="1">
        <v>14.6</v>
      </c>
    </row>
    <row r="97" spans="1:8" x14ac:dyDescent="0.25">
      <c r="A97" s="2" t="s">
        <v>37</v>
      </c>
      <c r="B97" s="1">
        <v>22</v>
      </c>
      <c r="C97" s="1">
        <v>12</v>
      </c>
      <c r="D97" s="1">
        <v>18.61</v>
      </c>
      <c r="E97" s="1" t="s">
        <v>215</v>
      </c>
      <c r="F97" s="1">
        <v>10</v>
      </c>
      <c r="G97" s="1">
        <v>45</v>
      </c>
      <c r="H97" s="1">
        <v>23.4</v>
      </c>
    </row>
    <row r="98" spans="1:8" x14ac:dyDescent="0.25">
      <c r="A98" s="2" t="s">
        <v>38</v>
      </c>
      <c r="B98" s="1">
        <v>22</v>
      </c>
      <c r="C98" s="1">
        <v>16</v>
      </c>
      <c r="D98" s="1">
        <v>31.88</v>
      </c>
      <c r="E98" s="1" t="s">
        <v>215</v>
      </c>
      <c r="F98" s="1">
        <v>10</v>
      </c>
      <c r="G98" s="1">
        <v>27</v>
      </c>
      <c r="H98" s="1">
        <v>9.9</v>
      </c>
    </row>
    <row r="99" spans="1:8" x14ac:dyDescent="0.25">
      <c r="A99" s="2" t="s">
        <v>39</v>
      </c>
      <c r="B99" s="1">
        <v>22</v>
      </c>
      <c r="C99" s="1">
        <v>20</v>
      </c>
      <c r="D99" s="1">
        <v>45.29</v>
      </c>
      <c r="E99" s="1" t="s">
        <v>215</v>
      </c>
      <c r="F99" s="1">
        <v>10</v>
      </c>
      <c r="G99" s="1">
        <v>8</v>
      </c>
      <c r="H99" s="1">
        <v>34.5</v>
      </c>
    </row>
    <row r="100" spans="1:8" x14ac:dyDescent="0.25">
      <c r="A100" s="2" t="s">
        <v>40</v>
      </c>
      <c r="B100" s="1">
        <v>22</v>
      </c>
      <c r="C100" s="1">
        <v>24</v>
      </c>
      <c r="D100" s="1">
        <v>58.82</v>
      </c>
      <c r="E100" s="1" t="s">
        <v>215</v>
      </c>
      <c r="F100" s="1">
        <v>9</v>
      </c>
      <c r="G100" s="1">
        <v>49</v>
      </c>
      <c r="H100" s="1">
        <v>37.6</v>
      </c>
    </row>
    <row r="101" spans="1:8" x14ac:dyDescent="0.25">
      <c r="A101" s="2" t="s">
        <v>41</v>
      </c>
      <c r="B101" s="1">
        <v>22</v>
      </c>
      <c r="C101" s="1">
        <v>29</v>
      </c>
      <c r="D101" s="1">
        <v>12.46</v>
      </c>
      <c r="E101" s="1" t="s">
        <v>215</v>
      </c>
      <c r="F101" s="1">
        <v>9</v>
      </c>
      <c r="G101" s="1">
        <v>30</v>
      </c>
      <c r="H101" s="1">
        <v>19.8</v>
      </c>
    </row>
    <row r="102" spans="1:8" x14ac:dyDescent="0.25">
      <c r="A102" s="2" t="s">
        <v>42</v>
      </c>
      <c r="B102" s="1">
        <v>22</v>
      </c>
      <c r="C102" s="1">
        <v>33</v>
      </c>
      <c r="D102" s="1">
        <v>26.2</v>
      </c>
      <c r="E102" s="1" t="s">
        <v>215</v>
      </c>
      <c r="F102" s="1">
        <v>9</v>
      </c>
      <c r="G102" s="1">
        <v>10</v>
      </c>
      <c r="H102" s="1">
        <v>41.5</v>
      </c>
    </row>
    <row r="103" spans="1:8" x14ac:dyDescent="0.25">
      <c r="A103" s="2" t="s">
        <v>43</v>
      </c>
      <c r="B103" s="1">
        <v>22</v>
      </c>
      <c r="C103" s="1">
        <v>37</v>
      </c>
      <c r="D103" s="1">
        <v>40.01</v>
      </c>
      <c r="E103" s="1" t="s">
        <v>215</v>
      </c>
      <c r="F103" s="1">
        <v>8</v>
      </c>
      <c r="G103" s="1">
        <v>50</v>
      </c>
      <c r="H103" s="1">
        <v>43.2</v>
      </c>
    </row>
    <row r="104" spans="1:8" x14ac:dyDescent="0.25">
      <c r="A104" s="2" t="s">
        <v>44</v>
      </c>
      <c r="B104" s="1">
        <v>22</v>
      </c>
      <c r="C104" s="1">
        <v>41</v>
      </c>
      <c r="D104" s="1">
        <v>53.89</v>
      </c>
      <c r="E104" s="1" t="s">
        <v>215</v>
      </c>
      <c r="F104" s="1">
        <v>8</v>
      </c>
      <c r="G104" s="1">
        <v>30</v>
      </c>
      <c r="H104" s="1">
        <v>25.5</v>
      </c>
    </row>
    <row r="105" spans="1:8" x14ac:dyDescent="0.25">
      <c r="A105" s="2" t="s">
        <v>45</v>
      </c>
      <c r="B105" s="1">
        <v>22</v>
      </c>
      <c r="C105" s="1">
        <v>46</v>
      </c>
      <c r="D105" s="1">
        <v>7.83</v>
      </c>
      <c r="E105" s="1" t="s">
        <v>215</v>
      </c>
      <c r="F105" s="1">
        <v>8</v>
      </c>
      <c r="G105" s="1">
        <v>9</v>
      </c>
      <c r="H105" s="1">
        <v>48.8</v>
      </c>
    </row>
    <row r="106" spans="1:8" x14ac:dyDescent="0.25">
      <c r="A106" s="2" t="s">
        <v>46</v>
      </c>
      <c r="B106" s="1">
        <v>22</v>
      </c>
      <c r="C106" s="1">
        <v>50</v>
      </c>
      <c r="D106" s="1">
        <v>21.83</v>
      </c>
      <c r="E106" s="1" t="s">
        <v>215</v>
      </c>
      <c r="F106" s="1">
        <v>7</v>
      </c>
      <c r="G106" s="1">
        <v>48</v>
      </c>
      <c r="H106" s="1">
        <v>53.7</v>
      </c>
    </row>
    <row r="107" spans="1:8" x14ac:dyDescent="0.25">
      <c r="A107" s="2" t="s">
        <v>47</v>
      </c>
      <c r="B107" s="1">
        <v>22</v>
      </c>
      <c r="C107" s="1">
        <v>54</v>
      </c>
      <c r="D107" s="1">
        <v>35.880000000000003</v>
      </c>
      <c r="E107" s="1" t="s">
        <v>215</v>
      </c>
      <c r="F107" s="1">
        <v>7</v>
      </c>
      <c r="G107" s="1">
        <v>27</v>
      </c>
      <c r="H107" s="1">
        <v>40.6</v>
      </c>
    </row>
    <row r="108" spans="1:8" x14ac:dyDescent="0.25">
      <c r="A108" s="2" t="s">
        <v>48</v>
      </c>
      <c r="B108" s="1">
        <v>22</v>
      </c>
      <c r="C108" s="1">
        <v>58</v>
      </c>
      <c r="D108" s="1">
        <v>49.98</v>
      </c>
      <c r="E108" s="1" t="s">
        <v>215</v>
      </c>
      <c r="F108" s="1">
        <v>7</v>
      </c>
      <c r="G108" s="1">
        <v>6</v>
      </c>
      <c r="H108" s="1">
        <v>10.199999999999999</v>
      </c>
    </row>
    <row r="109" spans="1:8" x14ac:dyDescent="0.25">
      <c r="A109" s="2" t="s">
        <v>49</v>
      </c>
      <c r="B109" s="1">
        <v>23</v>
      </c>
      <c r="C109" s="1">
        <v>3</v>
      </c>
      <c r="D109" s="1">
        <v>4.13</v>
      </c>
      <c r="E109" s="1" t="s">
        <v>215</v>
      </c>
      <c r="F109" s="1">
        <v>6</v>
      </c>
      <c r="G109" s="1">
        <v>44</v>
      </c>
      <c r="H109" s="1">
        <v>22.9</v>
      </c>
    </row>
    <row r="110" spans="1:8" x14ac:dyDescent="0.25">
      <c r="A110" s="2" t="s">
        <v>50</v>
      </c>
      <c r="B110" s="1">
        <v>23</v>
      </c>
      <c r="C110" s="1">
        <v>7</v>
      </c>
      <c r="D110" s="1">
        <v>18.34</v>
      </c>
      <c r="E110" s="1" t="s">
        <v>215</v>
      </c>
      <c r="F110" s="1">
        <v>6</v>
      </c>
      <c r="G110" s="1">
        <v>22</v>
      </c>
      <c r="H110" s="1">
        <v>19.3</v>
      </c>
    </row>
    <row r="111" spans="1:8" x14ac:dyDescent="0.25">
      <c r="A111" s="2" t="s">
        <v>51</v>
      </c>
      <c r="B111" s="1">
        <v>23</v>
      </c>
      <c r="C111" s="1">
        <v>11</v>
      </c>
      <c r="D111" s="1">
        <v>32.590000000000003</v>
      </c>
      <c r="E111" s="1" t="s">
        <v>215</v>
      </c>
      <c r="F111" s="1">
        <v>6</v>
      </c>
      <c r="G111" s="1">
        <v>0</v>
      </c>
      <c r="H111" s="1">
        <v>0</v>
      </c>
    </row>
    <row r="112" spans="1:8" x14ac:dyDescent="0.25">
      <c r="A112" s="2" t="s">
        <v>52</v>
      </c>
      <c r="B112" s="1">
        <v>23</v>
      </c>
      <c r="C112" s="1">
        <v>15</v>
      </c>
      <c r="D112" s="1">
        <v>46.89</v>
      </c>
      <c r="E112" s="1" t="s">
        <v>215</v>
      </c>
      <c r="F112" s="1">
        <v>5</v>
      </c>
      <c r="G112" s="1">
        <v>37</v>
      </c>
      <c r="H112" s="1">
        <v>25.5</v>
      </c>
    </row>
    <row r="113" spans="1:8" x14ac:dyDescent="0.25">
      <c r="A113" s="2" t="s">
        <v>53</v>
      </c>
      <c r="B113" s="1">
        <v>23</v>
      </c>
      <c r="C113" s="1">
        <v>20</v>
      </c>
      <c r="D113" s="1">
        <v>1.24</v>
      </c>
      <c r="E113" s="1" t="s">
        <v>215</v>
      </c>
      <c r="F113" s="1">
        <v>5</v>
      </c>
      <c r="G113" s="1">
        <v>14</v>
      </c>
      <c r="H113" s="1">
        <v>36.5</v>
      </c>
    </row>
    <row r="114" spans="1:8" x14ac:dyDescent="0.25">
      <c r="A114" s="2" t="s">
        <v>54</v>
      </c>
      <c r="B114" s="1">
        <v>23</v>
      </c>
      <c r="C114" s="1">
        <v>24</v>
      </c>
      <c r="D114" s="1">
        <v>15.65</v>
      </c>
      <c r="E114" s="1" t="s">
        <v>215</v>
      </c>
      <c r="F114" s="1">
        <v>4</v>
      </c>
      <c r="G114" s="1">
        <v>51</v>
      </c>
      <c r="H114" s="1">
        <v>33.5</v>
      </c>
    </row>
    <row r="115" spans="1:8" x14ac:dyDescent="0.25">
      <c r="A115" s="2" t="s">
        <v>55</v>
      </c>
      <c r="B115" s="1">
        <v>23</v>
      </c>
      <c r="C115" s="1">
        <v>28</v>
      </c>
      <c r="D115" s="1">
        <v>30.11</v>
      </c>
      <c r="E115" s="1" t="s">
        <v>215</v>
      </c>
      <c r="F115" s="1">
        <v>4</v>
      </c>
      <c r="G115" s="1">
        <v>28</v>
      </c>
      <c r="H115" s="1">
        <v>17.2</v>
      </c>
    </row>
    <row r="116" spans="1:8" x14ac:dyDescent="0.25">
      <c r="A116" s="2" t="s">
        <v>56</v>
      </c>
      <c r="B116" s="1">
        <v>23</v>
      </c>
      <c r="C116" s="1">
        <v>32</v>
      </c>
      <c r="D116" s="1">
        <v>44.63</v>
      </c>
      <c r="E116" s="1" t="s">
        <v>215</v>
      </c>
      <c r="F116" s="1">
        <v>4</v>
      </c>
      <c r="G116" s="1">
        <v>4</v>
      </c>
      <c r="H116" s="1">
        <v>48.3</v>
      </c>
    </row>
    <row r="117" spans="1:8" x14ac:dyDescent="0.25">
      <c r="A117" s="2" t="s">
        <v>57</v>
      </c>
      <c r="B117" s="1">
        <v>23</v>
      </c>
      <c r="C117" s="1">
        <v>36</v>
      </c>
      <c r="D117" s="1">
        <v>59.21</v>
      </c>
      <c r="E117" s="1" t="s">
        <v>215</v>
      </c>
      <c r="F117" s="1">
        <v>3</v>
      </c>
      <c r="G117" s="1">
        <v>41</v>
      </c>
      <c r="H117" s="1">
        <v>7.3</v>
      </c>
    </row>
    <row r="118" spans="1:8" x14ac:dyDescent="0.25">
      <c r="A118" s="2" t="s">
        <v>58</v>
      </c>
      <c r="B118" s="1">
        <v>23</v>
      </c>
      <c r="C118" s="1">
        <v>41</v>
      </c>
      <c r="D118" s="1">
        <v>13.87</v>
      </c>
      <c r="E118" s="1" t="s">
        <v>215</v>
      </c>
      <c r="F118" s="1">
        <v>3</v>
      </c>
      <c r="G118" s="1">
        <v>17</v>
      </c>
      <c r="H118" s="1">
        <v>14.8</v>
      </c>
    </row>
    <row r="119" spans="1:8" x14ac:dyDescent="0.25">
      <c r="A119" s="2" t="s">
        <v>59</v>
      </c>
      <c r="B119" s="1">
        <v>23</v>
      </c>
      <c r="C119" s="1">
        <v>45</v>
      </c>
      <c r="D119" s="1">
        <v>28.6</v>
      </c>
      <c r="E119" s="1" t="s">
        <v>215</v>
      </c>
      <c r="F119" s="1">
        <v>2</v>
      </c>
      <c r="G119" s="1">
        <v>53</v>
      </c>
      <c r="H119" s="1">
        <v>11.7</v>
      </c>
    </row>
    <row r="120" spans="1:8" x14ac:dyDescent="0.25">
      <c r="A120" s="2" t="s">
        <v>60</v>
      </c>
      <c r="B120" s="1">
        <v>23</v>
      </c>
      <c r="C120" s="1">
        <v>49</v>
      </c>
      <c r="D120" s="1">
        <v>43.43</v>
      </c>
      <c r="E120" s="1" t="s">
        <v>215</v>
      </c>
      <c r="F120" s="1">
        <v>2</v>
      </c>
      <c r="G120" s="1">
        <v>28</v>
      </c>
      <c r="H120" s="1">
        <v>58.4</v>
      </c>
    </row>
    <row r="121" spans="1:8" x14ac:dyDescent="0.25">
      <c r="A121" s="2" t="s">
        <v>61</v>
      </c>
      <c r="B121" s="1">
        <v>23</v>
      </c>
      <c r="C121" s="1">
        <v>53</v>
      </c>
      <c r="D121" s="1">
        <v>58.35</v>
      </c>
      <c r="E121" s="1" t="s">
        <v>215</v>
      </c>
      <c r="F121" s="1">
        <v>2</v>
      </c>
      <c r="G121" s="1">
        <v>4</v>
      </c>
      <c r="H121" s="1">
        <v>35.700000000000003</v>
      </c>
    </row>
    <row r="122" spans="1:8" x14ac:dyDescent="0.25">
      <c r="A122" s="2" t="s">
        <v>62</v>
      </c>
      <c r="B122" s="1">
        <v>23</v>
      </c>
      <c r="C122" s="1">
        <v>58</v>
      </c>
      <c r="D122" s="1">
        <v>13.39</v>
      </c>
      <c r="E122" s="1" t="s">
        <v>215</v>
      </c>
      <c r="F122" s="1">
        <v>1</v>
      </c>
      <c r="G122" s="1">
        <v>40</v>
      </c>
      <c r="H122" s="1">
        <v>4.0999999999999996</v>
      </c>
    </row>
    <row r="123" spans="1:8" x14ac:dyDescent="0.25">
      <c r="A123" s="2" t="s">
        <v>63</v>
      </c>
      <c r="B123" s="1">
        <v>0</v>
      </c>
      <c r="C123" s="1">
        <v>2</v>
      </c>
      <c r="D123" s="1">
        <v>28.56</v>
      </c>
      <c r="E123" s="1" t="s">
        <v>215</v>
      </c>
      <c r="F123" s="1">
        <v>1</v>
      </c>
      <c r="G123" s="1">
        <v>15</v>
      </c>
      <c r="H123" s="1">
        <v>24.4</v>
      </c>
    </row>
    <row r="124" spans="1:8" x14ac:dyDescent="0.25">
      <c r="A124" s="2" t="s">
        <v>64</v>
      </c>
      <c r="B124" s="1">
        <v>0</v>
      </c>
      <c r="C124" s="1">
        <v>6</v>
      </c>
      <c r="D124" s="1">
        <v>43.88</v>
      </c>
      <c r="E124" s="1" t="s">
        <v>215</v>
      </c>
      <c r="F124" s="1">
        <v>0</v>
      </c>
      <c r="G124" s="1">
        <v>50</v>
      </c>
      <c r="H124" s="1">
        <v>37.1</v>
      </c>
    </row>
    <row r="125" spans="1:8" x14ac:dyDescent="0.25">
      <c r="A125" s="2" t="s">
        <v>65</v>
      </c>
      <c r="B125" s="1">
        <v>0</v>
      </c>
      <c r="C125" s="1">
        <v>10</v>
      </c>
      <c r="D125" s="1">
        <v>59.36</v>
      </c>
      <c r="E125" s="1" t="s">
        <v>215</v>
      </c>
      <c r="F125" s="1">
        <v>0</v>
      </c>
      <c r="G125" s="1">
        <v>25</v>
      </c>
      <c r="H125" s="1">
        <v>43</v>
      </c>
    </row>
    <row r="126" spans="1:8" x14ac:dyDescent="0.25">
      <c r="A126" s="2" t="s">
        <v>66</v>
      </c>
      <c r="B126" s="1">
        <v>0</v>
      </c>
      <c r="C126" s="1">
        <v>15</v>
      </c>
      <c r="D126" s="1">
        <v>15.03</v>
      </c>
      <c r="E126" s="1" t="s">
        <v>215</v>
      </c>
      <c r="F126" s="1">
        <v>0</v>
      </c>
      <c r="G126" s="1">
        <v>0</v>
      </c>
      <c r="H126" s="1">
        <v>42.6</v>
      </c>
    </row>
    <row r="127" spans="1:8" x14ac:dyDescent="0.25">
      <c r="A127" s="2" t="s">
        <v>67</v>
      </c>
      <c r="B127" s="1">
        <v>0</v>
      </c>
      <c r="C127" s="1">
        <v>19</v>
      </c>
      <c r="D127" s="1">
        <v>30.89</v>
      </c>
      <c r="E127" s="1" t="s">
        <v>92</v>
      </c>
      <c r="F127" s="1">
        <v>0</v>
      </c>
      <c r="G127" s="1">
        <v>24</v>
      </c>
      <c r="H127" s="1">
        <v>23.5</v>
      </c>
    </row>
    <row r="128" spans="1:8" x14ac:dyDescent="0.25">
      <c r="A128" s="2" t="s">
        <v>68</v>
      </c>
      <c r="B128" s="1">
        <v>0</v>
      </c>
      <c r="C128" s="1">
        <v>23</v>
      </c>
      <c r="D128" s="1">
        <v>46.99</v>
      </c>
      <c r="E128" s="1" t="s">
        <v>92</v>
      </c>
      <c r="F128" s="1">
        <v>0</v>
      </c>
      <c r="G128" s="1">
        <v>49</v>
      </c>
      <c r="H128" s="1">
        <v>34.5</v>
      </c>
    </row>
    <row r="129" spans="1:8" x14ac:dyDescent="0.25">
      <c r="A129" s="2" t="s">
        <v>69</v>
      </c>
      <c r="B129" s="1">
        <v>0</v>
      </c>
      <c r="C129" s="1">
        <v>28</v>
      </c>
      <c r="D129" s="1">
        <v>3.33</v>
      </c>
      <c r="E129" s="1" t="s">
        <v>92</v>
      </c>
      <c r="F129" s="1">
        <v>1</v>
      </c>
      <c r="G129" s="1">
        <v>14</v>
      </c>
      <c r="H129" s="1">
        <v>49.9</v>
      </c>
    </row>
    <row r="130" spans="1:8" x14ac:dyDescent="0.25">
      <c r="A130" s="2" t="s">
        <v>70</v>
      </c>
      <c r="B130" s="1">
        <v>0</v>
      </c>
      <c r="C130" s="1">
        <v>32</v>
      </c>
      <c r="D130" s="1">
        <v>19.95</v>
      </c>
      <c r="E130" s="1" t="s">
        <v>92</v>
      </c>
      <c r="F130" s="1">
        <v>1</v>
      </c>
      <c r="G130" s="1">
        <v>40</v>
      </c>
      <c r="H130" s="1">
        <v>9</v>
      </c>
    </row>
    <row r="131" spans="1:8" x14ac:dyDescent="0.25">
      <c r="A131" s="2" t="s">
        <v>71</v>
      </c>
      <c r="B131" s="1">
        <v>0</v>
      </c>
      <c r="C131" s="1">
        <v>36</v>
      </c>
      <c r="D131" s="1">
        <v>36.86</v>
      </c>
      <c r="E131" s="1" t="s">
        <v>92</v>
      </c>
      <c r="F131" s="1">
        <v>2</v>
      </c>
      <c r="G131" s="1">
        <v>5</v>
      </c>
      <c r="H131" s="1">
        <v>31.2</v>
      </c>
    </row>
    <row r="132" spans="1:8" x14ac:dyDescent="0.25">
      <c r="A132" s="2" t="s">
        <v>72</v>
      </c>
      <c r="B132" s="1">
        <v>0</v>
      </c>
      <c r="C132" s="1">
        <v>40</v>
      </c>
      <c r="D132" s="1">
        <v>54.09</v>
      </c>
      <c r="E132" s="1" t="s">
        <v>92</v>
      </c>
      <c r="F132" s="1">
        <v>2</v>
      </c>
      <c r="G132" s="1">
        <v>30</v>
      </c>
      <c r="H132" s="1">
        <v>55.9</v>
      </c>
    </row>
    <row r="133" spans="1:8" x14ac:dyDescent="0.25">
      <c r="A133" s="2" t="s">
        <v>73</v>
      </c>
      <c r="B133" s="1">
        <v>0</v>
      </c>
      <c r="C133" s="1">
        <v>45</v>
      </c>
      <c r="D133" s="1">
        <v>11.68</v>
      </c>
      <c r="E133" s="1" t="s">
        <v>92</v>
      </c>
      <c r="F133" s="1">
        <v>2</v>
      </c>
      <c r="G133" s="1">
        <v>56</v>
      </c>
      <c r="H133" s="1">
        <v>22.4</v>
      </c>
    </row>
    <row r="134" spans="1:8" x14ac:dyDescent="0.25">
      <c r="A134" s="2" t="s">
        <v>74</v>
      </c>
      <c r="B134" s="1">
        <v>0</v>
      </c>
      <c r="C134" s="1">
        <v>49</v>
      </c>
      <c r="D134" s="1">
        <v>29.64</v>
      </c>
      <c r="E134" s="1" t="s">
        <v>92</v>
      </c>
      <c r="F134" s="1">
        <v>3</v>
      </c>
      <c r="G134" s="1">
        <v>21</v>
      </c>
      <c r="H134" s="1">
        <v>50.1</v>
      </c>
    </row>
    <row r="135" spans="1:8" x14ac:dyDescent="0.25">
      <c r="A135" s="2" t="s">
        <v>75</v>
      </c>
      <c r="B135" s="1">
        <v>0</v>
      </c>
      <c r="C135" s="1">
        <v>53</v>
      </c>
      <c r="D135" s="1">
        <v>48</v>
      </c>
      <c r="E135" s="1" t="s">
        <v>92</v>
      </c>
      <c r="F135" s="1">
        <v>3</v>
      </c>
      <c r="G135" s="1">
        <v>47</v>
      </c>
      <c r="H135" s="1">
        <v>18.399999999999999</v>
      </c>
    </row>
    <row r="136" spans="1:8" x14ac:dyDescent="0.25">
      <c r="A136" s="2" t="s">
        <v>76</v>
      </c>
      <c r="B136" s="1">
        <v>0</v>
      </c>
      <c r="C136" s="1">
        <v>58</v>
      </c>
      <c r="D136" s="1">
        <v>6.81</v>
      </c>
      <c r="E136" s="1" t="s">
        <v>92</v>
      </c>
      <c r="F136" s="1">
        <v>4</v>
      </c>
      <c r="G136" s="1">
        <v>12</v>
      </c>
      <c r="H136" s="1">
        <v>46.7</v>
      </c>
    </row>
    <row r="137" spans="1:8" x14ac:dyDescent="0.25">
      <c r="A137" s="2" t="s">
        <v>77</v>
      </c>
      <c r="B137" s="1">
        <v>1</v>
      </c>
      <c r="C137" s="1">
        <v>2</v>
      </c>
      <c r="D137" s="1">
        <v>26.07</v>
      </c>
      <c r="E137" s="1" t="s">
        <v>92</v>
      </c>
      <c r="F137" s="1">
        <v>4</v>
      </c>
      <c r="G137" s="1">
        <v>38</v>
      </c>
      <c r="H137" s="1">
        <v>14.3</v>
      </c>
    </row>
    <row r="138" spans="1:8" x14ac:dyDescent="0.25">
      <c r="A138" s="2" t="s">
        <v>78</v>
      </c>
      <c r="B138" s="1">
        <v>1</v>
      </c>
      <c r="C138" s="1">
        <v>6</v>
      </c>
      <c r="D138" s="1">
        <v>45.83</v>
      </c>
      <c r="E138" s="1" t="s">
        <v>92</v>
      </c>
      <c r="F138" s="1">
        <v>5</v>
      </c>
      <c r="G138" s="1">
        <v>3</v>
      </c>
      <c r="H138" s="1">
        <v>40.700000000000003</v>
      </c>
    </row>
    <row r="139" spans="1:8" x14ac:dyDescent="0.25">
      <c r="A139" s="2" t="s">
        <v>79</v>
      </c>
      <c r="B139" s="1">
        <v>1</v>
      </c>
      <c r="C139" s="1">
        <v>11</v>
      </c>
      <c r="D139" s="1">
        <v>6.1</v>
      </c>
      <c r="E139" s="1" t="s">
        <v>92</v>
      </c>
      <c r="F139" s="1">
        <v>5</v>
      </c>
      <c r="G139" s="1">
        <v>29</v>
      </c>
      <c r="H139" s="1">
        <v>5</v>
      </c>
    </row>
    <row r="140" spans="1:8" x14ac:dyDescent="0.25">
      <c r="A140" s="2" t="s">
        <v>80</v>
      </c>
      <c r="B140" s="1">
        <v>1</v>
      </c>
      <c r="C140" s="1">
        <v>15</v>
      </c>
      <c r="D140" s="1">
        <v>26.92</v>
      </c>
      <c r="E140" s="1" t="s">
        <v>92</v>
      </c>
      <c r="F140" s="1">
        <v>5</v>
      </c>
      <c r="G140" s="1">
        <v>54</v>
      </c>
      <c r="H140" s="1">
        <v>26.8</v>
      </c>
    </row>
    <row r="141" spans="1:8" x14ac:dyDescent="0.25">
      <c r="A141" s="2" t="s">
        <v>81</v>
      </c>
      <c r="B141" s="1">
        <v>1</v>
      </c>
      <c r="C141" s="1">
        <v>19</v>
      </c>
      <c r="D141" s="1">
        <v>48.32</v>
      </c>
      <c r="E141" s="1" t="s">
        <v>92</v>
      </c>
      <c r="F141" s="1">
        <v>6</v>
      </c>
      <c r="G141" s="1">
        <v>19</v>
      </c>
      <c r="H141" s="1">
        <v>45.3</v>
      </c>
    </row>
    <row r="142" spans="1:8" x14ac:dyDescent="0.25">
      <c r="A142" s="2" t="s">
        <v>82</v>
      </c>
      <c r="B142" s="1">
        <v>1</v>
      </c>
      <c r="C142" s="1">
        <v>24</v>
      </c>
      <c r="D142" s="1">
        <v>10.31</v>
      </c>
      <c r="E142" s="1" t="s">
        <v>92</v>
      </c>
      <c r="F142" s="1">
        <v>6</v>
      </c>
      <c r="G142" s="1">
        <v>44</v>
      </c>
      <c r="H142" s="1">
        <v>59.9</v>
      </c>
    </row>
    <row r="143" spans="1:8" x14ac:dyDescent="0.25">
      <c r="A143" s="2" t="s">
        <v>83</v>
      </c>
      <c r="B143" s="1">
        <v>1</v>
      </c>
      <c r="C143" s="1">
        <v>28</v>
      </c>
      <c r="D143" s="1">
        <v>32.93</v>
      </c>
      <c r="E143" s="1" t="s">
        <v>92</v>
      </c>
      <c r="F143" s="1">
        <v>7</v>
      </c>
      <c r="G143" s="1">
        <v>10</v>
      </c>
      <c r="H143" s="1">
        <v>9.9</v>
      </c>
    </row>
    <row r="144" spans="1:8" x14ac:dyDescent="0.25">
      <c r="A144" s="2" t="s">
        <v>84</v>
      </c>
      <c r="B144" s="1">
        <v>1</v>
      </c>
      <c r="C144" s="1">
        <v>32</v>
      </c>
      <c r="D144" s="1">
        <v>56.2</v>
      </c>
      <c r="E144" s="1" t="s">
        <v>92</v>
      </c>
      <c r="F144" s="1">
        <v>7</v>
      </c>
      <c r="G144" s="1">
        <v>35</v>
      </c>
      <c r="H144" s="1">
        <v>14.5</v>
      </c>
    </row>
    <row r="145" spans="1:8" x14ac:dyDescent="0.25">
      <c r="A145" s="2" t="s">
        <v>85</v>
      </c>
      <c r="B145" s="1">
        <v>1</v>
      </c>
      <c r="C145" s="1">
        <v>37</v>
      </c>
      <c r="D145" s="1">
        <v>20.13</v>
      </c>
      <c r="E145" s="1" t="s">
        <v>92</v>
      </c>
      <c r="F145" s="1">
        <v>8</v>
      </c>
      <c r="G145" s="1">
        <v>0</v>
      </c>
      <c r="H145" s="1">
        <v>13.1</v>
      </c>
    </row>
    <row r="146" spans="1:8" x14ac:dyDescent="0.25">
      <c r="A146" s="2" t="s">
        <v>86</v>
      </c>
      <c r="B146" s="1">
        <v>1</v>
      </c>
      <c r="C146" s="1">
        <v>41</v>
      </c>
      <c r="D146" s="1">
        <v>44.76</v>
      </c>
      <c r="E146" s="1" t="s">
        <v>92</v>
      </c>
      <c r="F146" s="1">
        <v>8</v>
      </c>
      <c r="G146" s="1">
        <v>25</v>
      </c>
      <c r="H146" s="1">
        <v>5</v>
      </c>
    </row>
    <row r="147" spans="1:8" x14ac:dyDescent="0.25">
      <c r="A147" s="2" t="s">
        <v>87</v>
      </c>
      <c r="B147" s="1">
        <v>1</v>
      </c>
      <c r="C147" s="1">
        <v>46</v>
      </c>
      <c r="D147" s="1">
        <v>10.1</v>
      </c>
      <c r="E147" s="1" t="s">
        <v>92</v>
      </c>
      <c r="F147" s="1">
        <v>8</v>
      </c>
      <c r="G147" s="1">
        <v>49</v>
      </c>
      <c r="H147" s="1">
        <v>49.5</v>
      </c>
    </row>
    <row r="148" spans="1:8" x14ac:dyDescent="0.25">
      <c r="A148" s="2" t="s">
        <v>88</v>
      </c>
      <c r="B148" s="1">
        <v>1</v>
      </c>
      <c r="C148" s="1">
        <v>50</v>
      </c>
      <c r="D148" s="1">
        <v>36.18</v>
      </c>
      <c r="E148" s="1" t="s">
        <v>92</v>
      </c>
      <c r="F148" s="1">
        <v>9</v>
      </c>
      <c r="G148" s="1">
        <v>14</v>
      </c>
      <c r="H148" s="1">
        <v>25.9</v>
      </c>
    </row>
    <row r="149" spans="1:8" x14ac:dyDescent="0.25">
      <c r="A149" s="2" t="s">
        <v>89</v>
      </c>
      <c r="B149" s="1">
        <v>1</v>
      </c>
      <c r="C149" s="1">
        <v>55</v>
      </c>
      <c r="D149" s="1">
        <v>3.03</v>
      </c>
      <c r="E149" s="1" t="s">
        <v>92</v>
      </c>
      <c r="F149" s="1">
        <v>9</v>
      </c>
      <c r="G149" s="1">
        <v>38</v>
      </c>
      <c r="H149" s="1">
        <v>53.5</v>
      </c>
    </row>
    <row r="150" spans="1:8" x14ac:dyDescent="0.25">
      <c r="A150" s="2" t="s">
        <v>90</v>
      </c>
      <c r="B150" s="1">
        <v>1</v>
      </c>
      <c r="C150" s="1">
        <v>59</v>
      </c>
      <c r="D150" s="1">
        <v>30.65</v>
      </c>
      <c r="E150" s="1" t="s">
        <v>92</v>
      </c>
      <c r="F150" s="1">
        <v>10</v>
      </c>
      <c r="G150" s="1">
        <v>3</v>
      </c>
      <c r="H150" s="1">
        <v>11.5</v>
      </c>
    </row>
    <row r="151" spans="1:8" x14ac:dyDescent="0.25">
      <c r="A151" s="2" t="s">
        <v>91</v>
      </c>
      <c r="B151" s="1">
        <v>2</v>
      </c>
      <c r="C151" s="1">
        <v>3</v>
      </c>
      <c r="D151" s="1">
        <v>59.09</v>
      </c>
      <c r="E151" s="1" t="s">
        <v>92</v>
      </c>
      <c r="F151" s="1">
        <v>10</v>
      </c>
      <c r="G151" s="1">
        <v>27</v>
      </c>
      <c r="H151" s="1">
        <v>19.3</v>
      </c>
    </row>
    <row r="152" spans="1:8" x14ac:dyDescent="0.25">
      <c r="A152" s="2" t="s">
        <v>93</v>
      </c>
      <c r="B152" s="1">
        <v>2</v>
      </c>
      <c r="C152" s="1">
        <v>8</v>
      </c>
      <c r="D152" s="1">
        <v>28.36</v>
      </c>
      <c r="E152" s="1" t="s">
        <v>92</v>
      </c>
      <c r="F152" s="1">
        <v>10</v>
      </c>
      <c r="G152" s="1">
        <v>51</v>
      </c>
      <c r="H152" s="1">
        <v>16.3</v>
      </c>
    </row>
    <row r="153" spans="1:8" x14ac:dyDescent="0.25">
      <c r="A153" s="2" t="s">
        <v>94</v>
      </c>
      <c r="B153" s="1">
        <v>2</v>
      </c>
      <c r="C153" s="1">
        <v>12</v>
      </c>
      <c r="D153" s="1">
        <v>58.48</v>
      </c>
      <c r="E153" s="1" t="s">
        <v>92</v>
      </c>
      <c r="F153" s="1">
        <v>11</v>
      </c>
      <c r="G153" s="1">
        <v>15</v>
      </c>
      <c r="H153" s="1">
        <v>1.6</v>
      </c>
    </row>
    <row r="154" spans="1:8" x14ac:dyDescent="0.25">
      <c r="A154" s="2" t="s">
        <v>95</v>
      </c>
      <c r="B154" s="1">
        <v>2</v>
      </c>
      <c r="C154" s="1">
        <v>17</v>
      </c>
      <c r="D154" s="1">
        <v>29.47</v>
      </c>
      <c r="E154" s="1" t="s">
        <v>92</v>
      </c>
      <c r="F154" s="1">
        <v>11</v>
      </c>
      <c r="G154" s="1">
        <v>38</v>
      </c>
      <c r="H154" s="1">
        <v>34.6</v>
      </c>
    </row>
    <row r="155" spans="1:8" x14ac:dyDescent="0.25">
      <c r="A155" s="2" t="s">
        <v>96</v>
      </c>
      <c r="B155" s="1">
        <v>2</v>
      </c>
      <c r="C155" s="1">
        <v>22</v>
      </c>
      <c r="D155" s="1">
        <v>1.35</v>
      </c>
      <c r="E155" s="1" t="s">
        <v>92</v>
      </c>
      <c r="F155" s="1">
        <v>12</v>
      </c>
      <c r="G155" s="1">
        <v>1</v>
      </c>
      <c r="H155" s="1">
        <v>54.6</v>
      </c>
    </row>
    <row r="156" spans="1:8" x14ac:dyDescent="0.25">
      <c r="A156" s="2" t="s">
        <v>97</v>
      </c>
      <c r="B156" s="1">
        <v>2</v>
      </c>
      <c r="C156" s="1">
        <v>26</v>
      </c>
      <c r="D156" s="1">
        <v>34.159999999999997</v>
      </c>
      <c r="E156" s="1" t="s">
        <v>92</v>
      </c>
      <c r="F156" s="1">
        <v>12</v>
      </c>
      <c r="G156" s="1">
        <v>25</v>
      </c>
      <c r="H156" s="1">
        <v>0.9</v>
      </c>
    </row>
    <row r="157" spans="1:8" x14ac:dyDescent="0.25">
      <c r="A157" s="2" t="s">
        <v>98</v>
      </c>
      <c r="B157" s="1">
        <v>2</v>
      </c>
      <c r="C157" s="1">
        <v>31</v>
      </c>
      <c r="D157" s="1">
        <v>7.9</v>
      </c>
      <c r="E157" s="1" t="s">
        <v>92</v>
      </c>
      <c r="F157" s="1">
        <v>12</v>
      </c>
      <c r="G157" s="1">
        <v>47</v>
      </c>
      <c r="H157" s="1">
        <v>52.8</v>
      </c>
    </row>
    <row r="158" spans="1:8" x14ac:dyDescent="0.25">
      <c r="A158" s="2" t="s">
        <v>99</v>
      </c>
      <c r="B158" s="1">
        <v>2</v>
      </c>
      <c r="C158" s="1">
        <v>35</v>
      </c>
      <c r="D158" s="1">
        <v>42.59</v>
      </c>
      <c r="E158" s="1" t="s">
        <v>92</v>
      </c>
      <c r="F158" s="1">
        <v>13</v>
      </c>
      <c r="G158" s="1">
        <v>10</v>
      </c>
      <c r="H158" s="1">
        <v>29.7</v>
      </c>
    </row>
    <row r="159" spans="1:8" x14ac:dyDescent="0.25">
      <c r="A159" s="2" t="s">
        <v>100</v>
      </c>
      <c r="B159" s="1">
        <v>2</v>
      </c>
      <c r="C159" s="1">
        <v>40</v>
      </c>
      <c r="D159" s="1">
        <v>18.27</v>
      </c>
      <c r="E159" s="1" t="s">
        <v>92</v>
      </c>
      <c r="F159" s="1">
        <v>13</v>
      </c>
      <c r="G159" s="1">
        <v>32</v>
      </c>
      <c r="H159" s="1">
        <v>50.8</v>
      </c>
    </row>
    <row r="160" spans="1:8" x14ac:dyDescent="0.25">
      <c r="A160" s="2" t="s">
        <v>101</v>
      </c>
      <c r="B160" s="1">
        <v>2</v>
      </c>
      <c r="C160" s="1">
        <v>44</v>
      </c>
      <c r="D160" s="1">
        <v>54.94</v>
      </c>
      <c r="E160" s="1" t="s">
        <v>92</v>
      </c>
      <c r="F160" s="1">
        <v>13</v>
      </c>
      <c r="G160" s="1">
        <v>54</v>
      </c>
      <c r="H160" s="1">
        <v>55.4</v>
      </c>
    </row>
    <row r="161" spans="1:8" x14ac:dyDescent="0.25">
      <c r="A161" s="2" t="s">
        <v>102</v>
      </c>
      <c r="B161" s="1">
        <v>2</v>
      </c>
      <c r="C161" s="1">
        <v>49</v>
      </c>
      <c r="D161" s="1">
        <v>32.619999999999997</v>
      </c>
      <c r="E161" s="1" t="s">
        <v>92</v>
      </c>
      <c r="F161" s="1">
        <v>14</v>
      </c>
      <c r="G161" s="1">
        <v>16</v>
      </c>
      <c r="H161" s="1">
        <v>43</v>
      </c>
    </row>
    <row r="162" spans="1:8" x14ac:dyDescent="0.25">
      <c r="A162" s="2" t="s">
        <v>103</v>
      </c>
      <c r="B162" s="1">
        <v>2</v>
      </c>
      <c r="C162" s="1">
        <v>54</v>
      </c>
      <c r="D162" s="1">
        <v>11.34</v>
      </c>
      <c r="E162" s="1" t="s">
        <v>92</v>
      </c>
      <c r="F162" s="1">
        <v>14</v>
      </c>
      <c r="G162" s="1">
        <v>38</v>
      </c>
      <c r="H162" s="1">
        <v>12.7</v>
      </c>
    </row>
    <row r="163" spans="1:8" x14ac:dyDescent="0.25">
      <c r="A163" s="2" t="s">
        <v>104</v>
      </c>
      <c r="B163" s="1">
        <v>2</v>
      </c>
      <c r="C163" s="1">
        <v>58</v>
      </c>
      <c r="D163" s="1">
        <v>51.11</v>
      </c>
      <c r="E163" s="1" t="s">
        <v>92</v>
      </c>
      <c r="F163" s="1">
        <v>14</v>
      </c>
      <c r="G163" s="1">
        <v>59</v>
      </c>
      <c r="H163" s="1">
        <v>24</v>
      </c>
    </row>
    <row r="164" spans="1:8" x14ac:dyDescent="0.25">
      <c r="A164" s="2" t="s">
        <v>105</v>
      </c>
      <c r="B164" s="1">
        <v>3</v>
      </c>
      <c r="C164" s="1">
        <v>3</v>
      </c>
      <c r="D164" s="1">
        <v>31.94</v>
      </c>
      <c r="E164" s="1" t="s">
        <v>92</v>
      </c>
      <c r="F164" s="1">
        <v>15</v>
      </c>
      <c r="G164" s="1">
        <v>20</v>
      </c>
      <c r="H164" s="1">
        <v>16.100000000000001</v>
      </c>
    </row>
    <row r="165" spans="1:8" x14ac:dyDescent="0.25">
      <c r="A165" s="2" t="s">
        <v>106</v>
      </c>
      <c r="B165" s="1">
        <v>3</v>
      </c>
      <c r="C165" s="1">
        <v>8</v>
      </c>
      <c r="D165" s="1">
        <v>13.86</v>
      </c>
      <c r="E165" s="1" t="s">
        <v>92</v>
      </c>
      <c r="F165" s="1">
        <v>15</v>
      </c>
      <c r="G165" s="1">
        <v>40</v>
      </c>
      <c r="H165" s="1">
        <v>48.4</v>
      </c>
    </row>
    <row r="166" spans="1:8" x14ac:dyDescent="0.25">
      <c r="A166" s="2" t="s">
        <v>107</v>
      </c>
      <c r="B166" s="1">
        <v>3</v>
      </c>
      <c r="C166" s="1">
        <v>12</v>
      </c>
      <c r="D166" s="1">
        <v>56.87</v>
      </c>
      <c r="E166" s="1" t="s">
        <v>92</v>
      </c>
      <c r="F166" s="1">
        <v>16</v>
      </c>
      <c r="G166" s="1">
        <v>1</v>
      </c>
      <c r="H166" s="1">
        <v>0.2</v>
      </c>
    </row>
    <row r="167" spans="1:8" x14ac:dyDescent="0.25">
      <c r="A167" s="2" t="s">
        <v>108</v>
      </c>
      <c r="B167" s="1">
        <v>3</v>
      </c>
      <c r="C167" s="1">
        <v>17</v>
      </c>
      <c r="D167" s="1">
        <v>41</v>
      </c>
      <c r="E167" s="1" t="s">
        <v>92</v>
      </c>
      <c r="F167" s="1">
        <v>16</v>
      </c>
      <c r="G167" s="1">
        <v>20</v>
      </c>
      <c r="H167" s="1">
        <v>50.9</v>
      </c>
    </row>
    <row r="168" spans="1:8" x14ac:dyDescent="0.25">
      <c r="A168" s="2" t="s">
        <v>109</v>
      </c>
      <c r="B168" s="1">
        <v>3</v>
      </c>
      <c r="C168" s="1">
        <v>22</v>
      </c>
      <c r="D168" s="1">
        <v>26.25</v>
      </c>
      <c r="E168" s="1" t="s">
        <v>92</v>
      </c>
      <c r="F168" s="1">
        <v>16</v>
      </c>
      <c r="G168" s="1">
        <v>40</v>
      </c>
      <c r="H168" s="1">
        <v>19.7</v>
      </c>
    </row>
    <row r="169" spans="1:8" x14ac:dyDescent="0.25">
      <c r="A169" s="2" t="s">
        <v>110</v>
      </c>
      <c r="B169" s="1">
        <v>3</v>
      </c>
      <c r="C169" s="1">
        <v>27</v>
      </c>
      <c r="D169" s="1">
        <v>12.62</v>
      </c>
      <c r="E169" s="1" t="s">
        <v>92</v>
      </c>
      <c r="F169" s="1">
        <v>16</v>
      </c>
      <c r="G169" s="1">
        <v>59</v>
      </c>
      <c r="H169" s="1">
        <v>26</v>
      </c>
    </row>
    <row r="170" spans="1:8" x14ac:dyDescent="0.25">
      <c r="A170" s="2" t="s">
        <v>111</v>
      </c>
      <c r="B170" s="1">
        <v>3</v>
      </c>
      <c r="C170" s="1">
        <v>32</v>
      </c>
      <c r="D170" s="1">
        <v>0.14000000000000001</v>
      </c>
      <c r="E170" s="1" t="s">
        <v>92</v>
      </c>
      <c r="F170" s="1">
        <v>17</v>
      </c>
      <c r="G170" s="1">
        <v>18</v>
      </c>
      <c r="H170" s="1">
        <v>9.1</v>
      </c>
    </row>
    <row r="171" spans="1:8" x14ac:dyDescent="0.25">
      <c r="A171" s="2" t="s">
        <v>112</v>
      </c>
      <c r="B171" s="1">
        <v>3</v>
      </c>
      <c r="C171" s="1">
        <v>36</v>
      </c>
      <c r="D171" s="1">
        <v>48.79</v>
      </c>
      <c r="E171" s="1" t="s">
        <v>92</v>
      </c>
      <c r="F171" s="1">
        <v>17</v>
      </c>
      <c r="G171" s="1">
        <v>36</v>
      </c>
      <c r="H171" s="1">
        <v>28.2</v>
      </c>
    </row>
    <row r="172" spans="1:8" x14ac:dyDescent="0.25">
      <c r="A172" s="2" t="s">
        <v>113</v>
      </c>
      <c r="B172" s="1">
        <v>3</v>
      </c>
      <c r="C172" s="1">
        <v>41</v>
      </c>
      <c r="D172" s="1">
        <v>38.57</v>
      </c>
      <c r="E172" s="1" t="s">
        <v>92</v>
      </c>
      <c r="F172" s="1">
        <v>17</v>
      </c>
      <c r="G172" s="1">
        <v>54</v>
      </c>
      <c r="H172" s="1">
        <v>22.8</v>
      </c>
    </row>
    <row r="173" spans="1:8" x14ac:dyDescent="0.25">
      <c r="A173" s="2" t="s">
        <v>114</v>
      </c>
      <c r="B173" s="1">
        <v>3</v>
      </c>
      <c r="C173" s="1">
        <v>46</v>
      </c>
      <c r="D173" s="1">
        <v>29.5</v>
      </c>
      <c r="E173" s="1" t="s">
        <v>92</v>
      </c>
      <c r="F173" s="1">
        <v>18</v>
      </c>
      <c r="G173" s="1">
        <v>11</v>
      </c>
      <c r="H173" s="1">
        <v>52.2</v>
      </c>
    </row>
    <row r="174" spans="1:8" x14ac:dyDescent="0.25">
      <c r="A174" s="2" t="s">
        <v>115</v>
      </c>
      <c r="B174" s="1">
        <v>3</v>
      </c>
      <c r="C174" s="1">
        <v>51</v>
      </c>
      <c r="D174" s="1">
        <v>21.56</v>
      </c>
      <c r="E174" s="1" t="s">
        <v>92</v>
      </c>
      <c r="F174" s="1">
        <v>18</v>
      </c>
      <c r="G174" s="1">
        <v>28</v>
      </c>
      <c r="H174" s="1">
        <v>55.6</v>
      </c>
    </row>
    <row r="175" spans="1:8" x14ac:dyDescent="0.25">
      <c r="A175" s="2" t="s">
        <v>116</v>
      </c>
      <c r="B175" s="1">
        <v>3</v>
      </c>
      <c r="C175" s="1">
        <v>56</v>
      </c>
      <c r="D175" s="1">
        <v>14.74</v>
      </c>
      <c r="E175" s="1" t="s">
        <v>92</v>
      </c>
      <c r="F175" s="1">
        <v>18</v>
      </c>
      <c r="G175" s="1">
        <v>45</v>
      </c>
      <c r="H175" s="1">
        <v>32.4</v>
      </c>
    </row>
    <row r="176" spans="1:8" x14ac:dyDescent="0.25">
      <c r="A176" s="2" t="s">
        <v>117</v>
      </c>
      <c r="B176" s="1">
        <v>4</v>
      </c>
      <c r="C176" s="1">
        <v>1</v>
      </c>
      <c r="D176" s="1">
        <v>9.0399999999999991</v>
      </c>
      <c r="E176" s="1" t="s">
        <v>92</v>
      </c>
      <c r="F176" s="1">
        <v>19</v>
      </c>
      <c r="G176" s="1">
        <v>1</v>
      </c>
      <c r="H176" s="1">
        <v>41.9</v>
      </c>
    </row>
    <row r="177" spans="1:8" x14ac:dyDescent="0.25">
      <c r="A177" s="2" t="s">
        <v>118</v>
      </c>
      <c r="B177" s="1">
        <v>4</v>
      </c>
      <c r="C177" s="1">
        <v>6</v>
      </c>
      <c r="D177" s="1">
        <v>4.4400000000000004</v>
      </c>
      <c r="E177" s="1" t="s">
        <v>92</v>
      </c>
      <c r="F177" s="1">
        <v>19</v>
      </c>
      <c r="G177" s="1">
        <v>17</v>
      </c>
      <c r="H177" s="1">
        <v>23.4</v>
      </c>
    </row>
    <row r="178" spans="1:8" x14ac:dyDescent="0.25">
      <c r="A178" s="2" t="s">
        <v>119</v>
      </c>
      <c r="B178" s="1">
        <v>4</v>
      </c>
      <c r="C178" s="1">
        <v>11</v>
      </c>
      <c r="D178" s="1">
        <v>0.95</v>
      </c>
      <c r="E178" s="1" t="s">
        <v>92</v>
      </c>
      <c r="F178" s="1">
        <v>19</v>
      </c>
      <c r="G178" s="1">
        <v>32</v>
      </c>
      <c r="H178" s="1">
        <v>36.4</v>
      </c>
    </row>
    <row r="179" spans="1:8" x14ac:dyDescent="0.25">
      <c r="A179" s="2" t="s">
        <v>120</v>
      </c>
      <c r="B179" s="1">
        <v>4</v>
      </c>
      <c r="C179" s="1">
        <v>15</v>
      </c>
      <c r="D179" s="1">
        <v>58.53</v>
      </c>
      <c r="E179" s="1" t="s">
        <v>92</v>
      </c>
      <c r="F179" s="1">
        <v>19</v>
      </c>
      <c r="G179" s="1">
        <v>47</v>
      </c>
      <c r="H179" s="1">
        <v>20.2</v>
      </c>
    </row>
    <row r="180" spans="1:8" x14ac:dyDescent="0.25">
      <c r="A180" s="2" t="s">
        <v>121</v>
      </c>
      <c r="B180" s="1">
        <v>4</v>
      </c>
      <c r="C180" s="1">
        <v>20</v>
      </c>
      <c r="D180" s="1">
        <v>57.18</v>
      </c>
      <c r="E180" s="1" t="s">
        <v>92</v>
      </c>
      <c r="F180" s="1">
        <v>20</v>
      </c>
      <c r="G180" s="1">
        <v>1</v>
      </c>
      <c r="H180" s="1">
        <v>34.200000000000003</v>
      </c>
    </row>
    <row r="181" spans="1:8" x14ac:dyDescent="0.25">
      <c r="A181" s="2" t="s">
        <v>122</v>
      </c>
      <c r="B181" s="1">
        <v>4</v>
      </c>
      <c r="C181" s="1">
        <v>25</v>
      </c>
      <c r="D181" s="1">
        <v>56.88</v>
      </c>
      <c r="E181" s="1" t="s">
        <v>92</v>
      </c>
      <c r="F181" s="1">
        <v>20</v>
      </c>
      <c r="G181" s="1">
        <v>15</v>
      </c>
      <c r="H181" s="1">
        <v>17.7</v>
      </c>
    </row>
    <row r="182" spans="1:8" x14ac:dyDescent="0.25">
      <c r="A182" s="2" t="s">
        <v>123</v>
      </c>
      <c r="B182" s="1">
        <v>4</v>
      </c>
      <c r="C182" s="1">
        <v>30</v>
      </c>
      <c r="D182" s="1">
        <v>57.6</v>
      </c>
      <c r="E182" s="1" t="s">
        <v>92</v>
      </c>
      <c r="F182" s="1">
        <v>20</v>
      </c>
      <c r="G182" s="1">
        <v>28</v>
      </c>
      <c r="H182" s="1">
        <v>30.3</v>
      </c>
    </row>
    <row r="183" spans="1:8" x14ac:dyDescent="0.25">
      <c r="A183" s="2" t="s">
        <v>124</v>
      </c>
      <c r="B183" s="1">
        <v>4</v>
      </c>
      <c r="C183" s="1">
        <v>35</v>
      </c>
      <c r="D183" s="1">
        <v>59.33</v>
      </c>
      <c r="E183" s="1" t="s">
        <v>92</v>
      </c>
      <c r="F183" s="1">
        <v>20</v>
      </c>
      <c r="G183" s="1">
        <v>41</v>
      </c>
      <c r="H183" s="1">
        <v>11.2</v>
      </c>
    </row>
    <row r="184" spans="1:8" x14ac:dyDescent="0.25">
      <c r="A184" s="2" t="s">
        <v>125</v>
      </c>
      <c r="B184" s="1">
        <v>4</v>
      </c>
      <c r="C184" s="1">
        <v>41</v>
      </c>
      <c r="D184" s="1">
        <v>2.04</v>
      </c>
      <c r="E184" s="1" t="s">
        <v>92</v>
      </c>
      <c r="F184" s="1">
        <v>20</v>
      </c>
      <c r="G184" s="1">
        <v>53</v>
      </c>
      <c r="H184" s="1">
        <v>19.899999999999999</v>
      </c>
    </row>
    <row r="185" spans="1:8" x14ac:dyDescent="0.25">
      <c r="A185" s="2" t="s">
        <v>126</v>
      </c>
      <c r="B185" s="1">
        <v>4</v>
      </c>
      <c r="C185" s="1">
        <v>46</v>
      </c>
      <c r="D185" s="1">
        <v>5.71</v>
      </c>
      <c r="E185" s="1" t="s">
        <v>92</v>
      </c>
      <c r="F185" s="1">
        <v>21</v>
      </c>
      <c r="G185" s="1">
        <v>4</v>
      </c>
      <c r="H185" s="1">
        <v>55.9</v>
      </c>
    </row>
    <row r="186" spans="1:8" x14ac:dyDescent="0.25">
      <c r="A186" s="2" t="s">
        <v>127</v>
      </c>
      <c r="B186" s="1">
        <v>4</v>
      </c>
      <c r="C186" s="1">
        <v>51</v>
      </c>
      <c r="D186" s="1">
        <v>10.31</v>
      </c>
      <c r="E186" s="1" t="s">
        <v>92</v>
      </c>
      <c r="F186" s="1">
        <v>21</v>
      </c>
      <c r="G186" s="1">
        <v>15</v>
      </c>
      <c r="H186" s="1">
        <v>58.7</v>
      </c>
    </row>
    <row r="187" spans="1:8" x14ac:dyDescent="0.25">
      <c r="A187" s="2" t="s">
        <v>128</v>
      </c>
      <c r="B187" s="1">
        <v>4</v>
      </c>
      <c r="C187" s="1">
        <v>56</v>
      </c>
      <c r="D187" s="1">
        <v>15.82</v>
      </c>
      <c r="E187" s="1" t="s">
        <v>92</v>
      </c>
      <c r="F187" s="1">
        <v>21</v>
      </c>
      <c r="G187" s="1">
        <v>26</v>
      </c>
      <c r="H187" s="1">
        <v>27.8</v>
      </c>
    </row>
    <row r="188" spans="1:8" x14ac:dyDescent="0.25">
      <c r="A188" s="2" t="s">
        <v>129</v>
      </c>
      <c r="B188" s="1">
        <v>5</v>
      </c>
      <c r="C188" s="1">
        <v>1</v>
      </c>
      <c r="D188" s="1">
        <v>22.19</v>
      </c>
      <c r="E188" s="1" t="s">
        <v>92</v>
      </c>
      <c r="F188" s="1">
        <v>21</v>
      </c>
      <c r="G188" s="1">
        <v>36</v>
      </c>
      <c r="H188" s="1">
        <v>22.5</v>
      </c>
    </row>
    <row r="189" spans="1:8" x14ac:dyDescent="0.25">
      <c r="A189" s="2" t="s">
        <v>130</v>
      </c>
      <c r="B189" s="1">
        <v>5</v>
      </c>
      <c r="C189" s="1">
        <v>6</v>
      </c>
      <c r="D189" s="1">
        <v>29.41</v>
      </c>
      <c r="E189" s="1" t="s">
        <v>92</v>
      </c>
      <c r="F189" s="1">
        <v>21</v>
      </c>
      <c r="G189" s="1">
        <v>45</v>
      </c>
      <c r="H189" s="1">
        <v>42.6</v>
      </c>
    </row>
    <row r="190" spans="1:8" x14ac:dyDescent="0.25">
      <c r="A190" s="2" t="s">
        <v>131</v>
      </c>
      <c r="B190" s="1">
        <v>5</v>
      </c>
      <c r="C190" s="1">
        <v>11</v>
      </c>
      <c r="D190" s="1">
        <v>37.44</v>
      </c>
      <c r="E190" s="1" t="s">
        <v>92</v>
      </c>
      <c r="F190" s="1">
        <v>21</v>
      </c>
      <c r="G190" s="1">
        <v>54</v>
      </c>
      <c r="H190" s="1">
        <v>27.5</v>
      </c>
    </row>
    <row r="191" spans="1:8" x14ac:dyDescent="0.25">
      <c r="A191" s="2" t="s">
        <v>132</v>
      </c>
      <c r="B191" s="1">
        <v>5</v>
      </c>
      <c r="C191" s="1">
        <v>16</v>
      </c>
      <c r="D191" s="1">
        <v>46.24</v>
      </c>
      <c r="E191" s="1" t="s">
        <v>92</v>
      </c>
      <c r="F191" s="1">
        <v>22</v>
      </c>
      <c r="G191" s="1">
        <v>2</v>
      </c>
      <c r="H191" s="1">
        <v>36.799999999999997</v>
      </c>
    </row>
    <row r="192" spans="1:8" x14ac:dyDescent="0.25">
      <c r="A192" s="2" t="s">
        <v>133</v>
      </c>
      <c r="B192" s="1">
        <v>5</v>
      </c>
      <c r="C192" s="1">
        <v>21</v>
      </c>
      <c r="D192" s="1">
        <v>55.78</v>
      </c>
      <c r="E192" s="1" t="s">
        <v>92</v>
      </c>
      <c r="F192" s="1">
        <v>22</v>
      </c>
      <c r="G192" s="1">
        <v>10</v>
      </c>
      <c r="H192" s="1">
        <v>10.1</v>
      </c>
    </row>
    <row r="193" spans="1:8" x14ac:dyDescent="0.25">
      <c r="A193" s="2" t="s">
        <v>134</v>
      </c>
      <c r="B193" s="1">
        <v>5</v>
      </c>
      <c r="C193" s="1">
        <v>27</v>
      </c>
      <c r="D193" s="1">
        <v>6.02</v>
      </c>
      <c r="E193" s="1" t="s">
        <v>92</v>
      </c>
      <c r="F193" s="1">
        <v>22</v>
      </c>
      <c r="G193" s="1">
        <v>17</v>
      </c>
      <c r="H193" s="1">
        <v>6.9</v>
      </c>
    </row>
    <row r="194" spans="1:8" x14ac:dyDescent="0.25">
      <c r="A194" s="2" t="s">
        <v>135</v>
      </c>
      <c r="B194" s="1">
        <v>5</v>
      </c>
      <c r="C194" s="1">
        <v>32</v>
      </c>
      <c r="D194" s="1">
        <v>16.93</v>
      </c>
      <c r="E194" s="1" t="s">
        <v>92</v>
      </c>
      <c r="F194" s="1">
        <v>22</v>
      </c>
      <c r="G194" s="1">
        <v>23</v>
      </c>
      <c r="H194" s="1">
        <v>27</v>
      </c>
    </row>
    <row r="195" spans="1:8" x14ac:dyDescent="0.25">
      <c r="A195" s="2" t="s">
        <v>136</v>
      </c>
      <c r="B195" s="1">
        <v>5</v>
      </c>
      <c r="C195" s="1">
        <v>37</v>
      </c>
      <c r="D195" s="1">
        <v>28.47</v>
      </c>
      <c r="E195" s="1" t="s">
        <v>92</v>
      </c>
      <c r="F195" s="1">
        <v>22</v>
      </c>
      <c r="G195" s="1">
        <v>29</v>
      </c>
      <c r="H195" s="1">
        <v>9.9</v>
      </c>
    </row>
    <row r="196" spans="1:8" x14ac:dyDescent="0.25">
      <c r="A196" s="2" t="s">
        <v>137</v>
      </c>
      <c r="B196" s="1">
        <v>5</v>
      </c>
      <c r="C196" s="1">
        <v>42</v>
      </c>
      <c r="D196" s="1">
        <v>40.6</v>
      </c>
      <c r="E196" s="1" t="s">
        <v>92</v>
      </c>
      <c r="F196" s="1">
        <v>22</v>
      </c>
      <c r="G196" s="1">
        <v>34</v>
      </c>
      <c r="H196" s="1">
        <v>15.4</v>
      </c>
    </row>
    <row r="197" spans="1:8" x14ac:dyDescent="0.25">
      <c r="A197" s="2" t="s">
        <v>138</v>
      </c>
      <c r="B197" s="1">
        <v>5</v>
      </c>
      <c r="C197" s="1">
        <v>47</v>
      </c>
      <c r="D197" s="1">
        <v>53.28</v>
      </c>
      <c r="E197" s="1" t="s">
        <v>92</v>
      </c>
      <c r="F197" s="1">
        <v>22</v>
      </c>
      <c r="G197" s="1">
        <v>38</v>
      </c>
      <c r="H197" s="1">
        <v>43.1</v>
      </c>
    </row>
    <row r="198" spans="1:8" x14ac:dyDescent="0.25">
      <c r="A198" s="2" t="s">
        <v>139</v>
      </c>
      <c r="B198" s="1">
        <v>5</v>
      </c>
      <c r="C198" s="1">
        <v>53</v>
      </c>
      <c r="D198" s="1">
        <v>6.46</v>
      </c>
      <c r="E198" s="1" t="s">
        <v>92</v>
      </c>
      <c r="F198" s="1">
        <v>22</v>
      </c>
      <c r="G198" s="1">
        <v>42</v>
      </c>
      <c r="H198" s="1">
        <v>32.700000000000003</v>
      </c>
    </row>
    <row r="199" spans="1:8" x14ac:dyDescent="0.25">
      <c r="A199" s="2" t="s">
        <v>140</v>
      </c>
      <c r="B199" s="1">
        <v>5</v>
      </c>
      <c r="C199" s="1">
        <v>58</v>
      </c>
      <c r="D199" s="1">
        <v>20.100000000000001</v>
      </c>
      <c r="E199" s="1" t="s">
        <v>92</v>
      </c>
      <c r="F199" s="1">
        <v>22</v>
      </c>
      <c r="G199" s="1">
        <v>45</v>
      </c>
      <c r="H199" s="1">
        <v>44</v>
      </c>
    </row>
    <row r="200" spans="1:8" x14ac:dyDescent="0.25">
      <c r="A200" s="2" t="s">
        <v>141</v>
      </c>
      <c r="B200" s="1">
        <v>6</v>
      </c>
      <c r="C200" s="1">
        <v>3</v>
      </c>
      <c r="D200" s="1">
        <v>34.14</v>
      </c>
      <c r="E200" s="1" t="s">
        <v>92</v>
      </c>
      <c r="F200" s="1">
        <v>22</v>
      </c>
      <c r="G200" s="1">
        <v>48</v>
      </c>
      <c r="H200" s="1">
        <v>16.7</v>
      </c>
    </row>
    <row r="201" spans="1:8" x14ac:dyDescent="0.25">
      <c r="A201" s="2" t="s">
        <v>142</v>
      </c>
      <c r="B201" s="1">
        <v>6</v>
      </c>
      <c r="C201" s="1">
        <v>8</v>
      </c>
      <c r="D201" s="1">
        <v>48.55</v>
      </c>
      <c r="E201" s="1" t="s">
        <v>92</v>
      </c>
      <c r="F201" s="1">
        <v>22</v>
      </c>
      <c r="G201" s="1">
        <v>50</v>
      </c>
      <c r="H201" s="1">
        <v>10.5</v>
      </c>
    </row>
    <row r="202" spans="1:8" x14ac:dyDescent="0.25">
      <c r="A202" s="2" t="s">
        <v>143</v>
      </c>
      <c r="B202" s="1">
        <v>6</v>
      </c>
      <c r="C202" s="1">
        <v>14</v>
      </c>
      <c r="D202" s="1">
        <v>3.26</v>
      </c>
      <c r="E202" s="1" t="s">
        <v>92</v>
      </c>
      <c r="F202" s="1">
        <v>22</v>
      </c>
      <c r="G202" s="1">
        <v>51</v>
      </c>
      <c r="H202" s="1">
        <v>25.4</v>
      </c>
    </row>
    <row r="203" spans="1:8" x14ac:dyDescent="0.25">
      <c r="A203" s="2" t="s">
        <v>144</v>
      </c>
      <c r="B203" s="1">
        <v>6</v>
      </c>
      <c r="C203" s="1">
        <v>19</v>
      </c>
      <c r="D203" s="1">
        <v>18.22</v>
      </c>
      <c r="E203" s="1" t="s">
        <v>92</v>
      </c>
      <c r="F203" s="1">
        <v>22</v>
      </c>
      <c r="G203" s="1">
        <v>52</v>
      </c>
      <c r="H203" s="1">
        <v>1.2</v>
      </c>
    </row>
    <row r="204" spans="1:8" x14ac:dyDescent="0.25">
      <c r="A204" s="2" t="s">
        <v>145</v>
      </c>
      <c r="B204" s="1">
        <v>6</v>
      </c>
      <c r="C204" s="1">
        <v>24</v>
      </c>
      <c r="D204" s="1">
        <v>33.39</v>
      </c>
      <c r="E204" s="1" t="s">
        <v>92</v>
      </c>
      <c r="F204" s="1">
        <v>22</v>
      </c>
      <c r="G204" s="1">
        <v>51</v>
      </c>
      <c r="H204" s="1">
        <v>57.6</v>
      </c>
    </row>
    <row r="205" spans="1:8" x14ac:dyDescent="0.25">
      <c r="A205" s="2" t="s">
        <v>146</v>
      </c>
      <c r="B205" s="1">
        <v>6</v>
      </c>
      <c r="C205" s="1">
        <v>29</v>
      </c>
      <c r="D205" s="1">
        <v>48.71</v>
      </c>
      <c r="E205" s="1" t="s">
        <v>92</v>
      </c>
      <c r="F205" s="1">
        <v>22</v>
      </c>
      <c r="G205" s="1">
        <v>51</v>
      </c>
      <c r="H205" s="1">
        <v>14.6</v>
      </c>
    </row>
    <row r="206" spans="1:8" x14ac:dyDescent="0.25">
      <c r="A206" s="2" t="s">
        <v>147</v>
      </c>
      <c r="B206" s="1">
        <v>6</v>
      </c>
      <c r="C206" s="1">
        <v>35</v>
      </c>
      <c r="D206" s="1">
        <v>4.12</v>
      </c>
      <c r="E206" s="1" t="s">
        <v>92</v>
      </c>
      <c r="F206" s="1">
        <v>22</v>
      </c>
      <c r="G206" s="1">
        <v>49</v>
      </c>
      <c r="H206" s="1">
        <v>52.2</v>
      </c>
    </row>
    <row r="207" spans="1:8" x14ac:dyDescent="0.25">
      <c r="A207" s="2" t="s">
        <v>148</v>
      </c>
      <c r="B207" s="1">
        <v>6</v>
      </c>
      <c r="C207" s="1">
        <v>40</v>
      </c>
      <c r="D207" s="1">
        <v>19.57</v>
      </c>
      <c r="E207" s="1" t="s">
        <v>92</v>
      </c>
      <c r="F207" s="1">
        <v>22</v>
      </c>
      <c r="G207" s="1">
        <v>47</v>
      </c>
      <c r="H207" s="1">
        <v>50.2</v>
      </c>
    </row>
    <row r="208" spans="1:8" x14ac:dyDescent="0.25">
      <c r="A208" s="2" t="s">
        <v>149</v>
      </c>
      <c r="B208" s="1">
        <v>6</v>
      </c>
      <c r="C208" s="1">
        <v>45</v>
      </c>
      <c r="D208" s="1">
        <v>35.01</v>
      </c>
      <c r="E208" s="1" t="s">
        <v>92</v>
      </c>
      <c r="F208" s="1">
        <v>22</v>
      </c>
      <c r="G208" s="1">
        <v>45</v>
      </c>
      <c r="H208" s="1">
        <v>8.6999999999999993</v>
      </c>
    </row>
    <row r="209" spans="1:8" x14ac:dyDescent="0.25">
      <c r="A209" s="2" t="s">
        <v>150</v>
      </c>
      <c r="B209" s="1">
        <v>6</v>
      </c>
      <c r="C209" s="1">
        <v>50</v>
      </c>
      <c r="D209" s="1">
        <v>50.38</v>
      </c>
      <c r="E209" s="1" t="s">
        <v>92</v>
      </c>
      <c r="F209" s="1">
        <v>22</v>
      </c>
      <c r="G209" s="1">
        <v>41</v>
      </c>
      <c r="H209" s="1">
        <v>47.7</v>
      </c>
    </row>
    <row r="210" spans="1:8" x14ac:dyDescent="0.25">
      <c r="A210" s="2" t="s">
        <v>151</v>
      </c>
      <c r="B210" s="1">
        <v>6</v>
      </c>
      <c r="C210" s="1">
        <v>56</v>
      </c>
      <c r="D210" s="1">
        <v>5.64</v>
      </c>
      <c r="E210" s="1" t="s">
        <v>92</v>
      </c>
      <c r="F210" s="1">
        <v>22</v>
      </c>
      <c r="G210" s="1">
        <v>37</v>
      </c>
      <c r="H210" s="1">
        <v>47.2</v>
      </c>
    </row>
    <row r="211" spans="1:8" x14ac:dyDescent="0.25">
      <c r="A211" s="2" t="s">
        <v>152</v>
      </c>
      <c r="B211" s="1">
        <v>7</v>
      </c>
      <c r="C211" s="1">
        <v>1</v>
      </c>
      <c r="D211" s="1">
        <v>20.72</v>
      </c>
      <c r="E211" s="1" t="s">
        <v>92</v>
      </c>
      <c r="F211" s="1">
        <v>22</v>
      </c>
      <c r="G211" s="1">
        <v>33</v>
      </c>
      <c r="H211" s="1">
        <v>7.3</v>
      </c>
    </row>
    <row r="212" spans="1:8" x14ac:dyDescent="0.25">
      <c r="A212" s="2" t="s">
        <v>153</v>
      </c>
      <c r="B212" s="1">
        <v>7</v>
      </c>
      <c r="C212" s="1">
        <v>6</v>
      </c>
      <c r="D212" s="1">
        <v>35.58</v>
      </c>
      <c r="E212" s="1" t="s">
        <v>92</v>
      </c>
      <c r="F212" s="1">
        <v>22</v>
      </c>
      <c r="G212" s="1">
        <v>27</v>
      </c>
      <c r="H212" s="1">
        <v>48.1</v>
      </c>
    </row>
    <row r="213" spans="1:8" x14ac:dyDescent="0.25">
      <c r="A213" s="2">
        <v>44774</v>
      </c>
      <c r="B213" s="1">
        <v>7</v>
      </c>
      <c r="C213" s="1">
        <v>11</v>
      </c>
      <c r="D213" s="1">
        <v>50.16</v>
      </c>
      <c r="E213" s="1" t="s">
        <v>92</v>
      </c>
      <c r="F213" s="1">
        <v>22</v>
      </c>
      <c r="G213" s="1">
        <v>21</v>
      </c>
      <c r="H213" s="1">
        <v>49.7</v>
      </c>
    </row>
    <row r="214" spans="1:8" x14ac:dyDescent="0.25">
      <c r="A214" s="2">
        <v>44775</v>
      </c>
      <c r="B214" s="1">
        <v>7</v>
      </c>
      <c r="C214" s="1">
        <v>17</v>
      </c>
      <c r="D214" s="1">
        <v>4.42</v>
      </c>
      <c r="E214" s="1" t="s">
        <v>92</v>
      </c>
      <c r="F214" s="1">
        <v>22</v>
      </c>
      <c r="G214" s="1">
        <v>15</v>
      </c>
      <c r="H214" s="1">
        <v>12.3</v>
      </c>
    </row>
    <row r="215" spans="1:8" x14ac:dyDescent="0.25">
      <c r="A215" s="2">
        <v>44776</v>
      </c>
      <c r="B215" s="1">
        <v>7</v>
      </c>
      <c r="C215" s="1">
        <v>22</v>
      </c>
      <c r="D215" s="1">
        <v>18.309999999999999</v>
      </c>
      <c r="E215" s="1" t="s">
        <v>92</v>
      </c>
      <c r="F215" s="1">
        <v>22</v>
      </c>
      <c r="G215" s="1">
        <v>7</v>
      </c>
      <c r="H215" s="1">
        <v>56</v>
      </c>
    </row>
    <row r="216" spans="1:8" x14ac:dyDescent="0.25">
      <c r="A216" s="2">
        <v>44777</v>
      </c>
      <c r="B216" s="1">
        <v>7</v>
      </c>
      <c r="C216" s="1">
        <v>27</v>
      </c>
      <c r="D216" s="1">
        <v>31.78</v>
      </c>
      <c r="E216" s="1" t="s">
        <v>92</v>
      </c>
      <c r="F216" s="1">
        <v>22</v>
      </c>
      <c r="G216" s="1">
        <v>0</v>
      </c>
      <c r="H216" s="1">
        <v>1.2</v>
      </c>
    </row>
    <row r="217" spans="1:8" x14ac:dyDescent="0.25">
      <c r="A217" s="2">
        <v>44778</v>
      </c>
      <c r="B217" s="1">
        <v>7</v>
      </c>
      <c r="C217" s="1">
        <v>32</v>
      </c>
      <c r="D217" s="1">
        <v>44.78</v>
      </c>
      <c r="E217" s="1" t="s">
        <v>92</v>
      </c>
      <c r="F217" s="1">
        <v>21</v>
      </c>
      <c r="G217" s="1">
        <v>51</v>
      </c>
      <c r="H217" s="1">
        <v>27.9</v>
      </c>
    </row>
    <row r="218" spans="1:8" x14ac:dyDescent="0.25">
      <c r="A218" s="2">
        <v>44779</v>
      </c>
      <c r="B218" s="1">
        <v>7</v>
      </c>
      <c r="C218" s="1">
        <v>37</v>
      </c>
      <c r="D218" s="1">
        <v>57.28</v>
      </c>
      <c r="E218" s="1" t="s">
        <v>92</v>
      </c>
      <c r="F218" s="1">
        <v>21</v>
      </c>
      <c r="G218" s="1">
        <v>42</v>
      </c>
      <c r="H218" s="1">
        <v>16.600000000000001</v>
      </c>
    </row>
    <row r="219" spans="1:8" x14ac:dyDescent="0.25">
      <c r="A219" s="2">
        <v>44780</v>
      </c>
      <c r="B219" s="1">
        <v>7</v>
      </c>
      <c r="C219" s="1">
        <v>43</v>
      </c>
      <c r="D219" s="1">
        <v>9.2200000000000006</v>
      </c>
      <c r="E219" s="1" t="s">
        <v>92</v>
      </c>
      <c r="F219" s="1">
        <v>21</v>
      </c>
      <c r="G219" s="1">
        <v>32</v>
      </c>
      <c r="H219" s="1">
        <v>27.4</v>
      </c>
    </row>
    <row r="220" spans="1:8" x14ac:dyDescent="0.25">
      <c r="A220" s="2">
        <v>44781</v>
      </c>
      <c r="B220" s="1">
        <v>7</v>
      </c>
      <c r="C220" s="1">
        <v>48</v>
      </c>
      <c r="D220" s="1">
        <v>20.59</v>
      </c>
      <c r="E220" s="1" t="s">
        <v>92</v>
      </c>
      <c r="F220" s="1">
        <v>21</v>
      </c>
      <c r="G220" s="1">
        <v>22</v>
      </c>
      <c r="H220" s="1">
        <v>0.7</v>
      </c>
    </row>
    <row r="221" spans="1:8" x14ac:dyDescent="0.25">
      <c r="A221" s="2">
        <v>44782</v>
      </c>
      <c r="B221" s="1">
        <v>7</v>
      </c>
      <c r="C221" s="1">
        <v>53</v>
      </c>
      <c r="D221" s="1">
        <v>31.33</v>
      </c>
      <c r="E221" s="1" t="s">
        <v>92</v>
      </c>
      <c r="F221" s="1">
        <v>21</v>
      </c>
      <c r="G221" s="1">
        <v>10</v>
      </c>
      <c r="H221" s="1">
        <v>56.9</v>
      </c>
    </row>
    <row r="222" spans="1:8" x14ac:dyDescent="0.25">
      <c r="A222" s="2">
        <v>44783</v>
      </c>
      <c r="B222" s="1">
        <v>7</v>
      </c>
      <c r="C222" s="1">
        <v>58</v>
      </c>
      <c r="D222" s="1">
        <v>41.41</v>
      </c>
      <c r="E222" s="1" t="s">
        <v>92</v>
      </c>
      <c r="F222" s="1">
        <v>20</v>
      </c>
      <c r="G222" s="1">
        <v>59</v>
      </c>
      <c r="H222" s="1">
        <v>16.2</v>
      </c>
    </row>
    <row r="223" spans="1:8" x14ac:dyDescent="0.25">
      <c r="A223" s="2">
        <v>44784</v>
      </c>
      <c r="B223" s="1">
        <v>8</v>
      </c>
      <c r="C223" s="1">
        <v>3</v>
      </c>
      <c r="D223" s="1">
        <v>50.81</v>
      </c>
      <c r="E223" s="1" t="s">
        <v>92</v>
      </c>
      <c r="F223" s="1">
        <v>20</v>
      </c>
      <c r="G223" s="1">
        <v>46</v>
      </c>
      <c r="H223" s="1">
        <v>59</v>
      </c>
    </row>
    <row r="224" spans="1:8" x14ac:dyDescent="0.25">
      <c r="A224" s="2">
        <v>44785</v>
      </c>
      <c r="B224" s="1">
        <v>8</v>
      </c>
      <c r="C224" s="1">
        <v>8</v>
      </c>
      <c r="D224" s="1">
        <v>59.49</v>
      </c>
      <c r="E224" s="1" t="s">
        <v>92</v>
      </c>
      <c r="F224" s="1">
        <v>20</v>
      </c>
      <c r="G224" s="1">
        <v>34</v>
      </c>
      <c r="H224" s="1">
        <v>5.8</v>
      </c>
    </row>
    <row r="225" spans="1:8" x14ac:dyDescent="0.25">
      <c r="A225" s="2">
        <v>44786</v>
      </c>
      <c r="B225" s="1">
        <v>8</v>
      </c>
      <c r="C225" s="1">
        <v>14</v>
      </c>
      <c r="D225" s="1">
        <v>7.42</v>
      </c>
      <c r="E225" s="1" t="s">
        <v>92</v>
      </c>
      <c r="F225" s="1">
        <v>20</v>
      </c>
      <c r="G225" s="1">
        <v>20</v>
      </c>
      <c r="H225" s="1">
        <v>36.9</v>
      </c>
    </row>
    <row r="226" spans="1:8" x14ac:dyDescent="0.25">
      <c r="A226" s="2">
        <v>44787</v>
      </c>
      <c r="B226" s="1">
        <v>8</v>
      </c>
      <c r="C226" s="1">
        <v>19</v>
      </c>
      <c r="D226" s="1">
        <v>14.59</v>
      </c>
      <c r="E226" s="1" t="s">
        <v>92</v>
      </c>
      <c r="F226" s="1">
        <v>20</v>
      </c>
      <c r="G226" s="1">
        <v>6</v>
      </c>
      <c r="H226" s="1">
        <v>32.799999999999997</v>
      </c>
    </row>
    <row r="227" spans="1:8" x14ac:dyDescent="0.25">
      <c r="A227" s="2">
        <v>44788</v>
      </c>
      <c r="B227" s="1">
        <v>8</v>
      </c>
      <c r="C227" s="1">
        <v>24</v>
      </c>
      <c r="D227" s="1">
        <v>20.96</v>
      </c>
      <c r="E227" s="1" t="s">
        <v>92</v>
      </c>
      <c r="F227" s="1">
        <v>19</v>
      </c>
      <c r="G227" s="1">
        <v>51</v>
      </c>
      <c r="H227" s="1">
        <v>53.9</v>
      </c>
    </row>
    <row r="228" spans="1:8" x14ac:dyDescent="0.25">
      <c r="A228" s="2">
        <v>44789</v>
      </c>
      <c r="B228" s="1">
        <v>8</v>
      </c>
      <c r="C228" s="1">
        <v>29</v>
      </c>
      <c r="D228" s="1">
        <v>26.51</v>
      </c>
      <c r="E228" s="1" t="s">
        <v>92</v>
      </c>
      <c r="F228" s="1">
        <v>19</v>
      </c>
      <c r="G228" s="1">
        <v>36</v>
      </c>
      <c r="H228" s="1">
        <v>40.700000000000003</v>
      </c>
    </row>
    <row r="229" spans="1:8" x14ac:dyDescent="0.25">
      <c r="A229" s="2">
        <v>44790</v>
      </c>
      <c r="B229" s="1">
        <v>8</v>
      </c>
      <c r="C229" s="1">
        <v>34</v>
      </c>
      <c r="D229" s="1">
        <v>31.22</v>
      </c>
      <c r="E229" s="1" t="s">
        <v>92</v>
      </c>
      <c r="F229" s="1">
        <v>19</v>
      </c>
      <c r="G229" s="1">
        <v>20</v>
      </c>
      <c r="H229" s="1">
        <v>53.6</v>
      </c>
    </row>
    <row r="230" spans="1:8" x14ac:dyDescent="0.25">
      <c r="A230" s="2">
        <v>44791</v>
      </c>
      <c r="B230" s="1">
        <v>8</v>
      </c>
      <c r="C230" s="1">
        <v>39</v>
      </c>
      <c r="D230" s="1">
        <v>35.07</v>
      </c>
      <c r="E230" s="1" t="s">
        <v>92</v>
      </c>
      <c r="F230" s="1">
        <v>19</v>
      </c>
      <c r="G230" s="1">
        <v>4</v>
      </c>
      <c r="H230" s="1">
        <v>33.200000000000003</v>
      </c>
    </row>
    <row r="231" spans="1:8" x14ac:dyDescent="0.25">
      <c r="A231" s="2">
        <v>44792</v>
      </c>
      <c r="B231" s="1">
        <v>8</v>
      </c>
      <c r="C231" s="1">
        <v>44</v>
      </c>
      <c r="D231" s="1">
        <v>38.04</v>
      </c>
      <c r="E231" s="1" t="s">
        <v>92</v>
      </c>
      <c r="F231" s="1">
        <v>18</v>
      </c>
      <c r="G231" s="1">
        <v>47</v>
      </c>
      <c r="H231" s="1">
        <v>40</v>
      </c>
    </row>
    <row r="232" spans="1:8" x14ac:dyDescent="0.25">
      <c r="A232" s="2">
        <v>44793</v>
      </c>
      <c r="B232" s="1">
        <v>8</v>
      </c>
      <c r="C232" s="1">
        <v>49</v>
      </c>
      <c r="D232" s="1">
        <v>40.119999999999997</v>
      </c>
      <c r="E232" s="1" t="s">
        <v>92</v>
      </c>
      <c r="F232" s="1">
        <v>18</v>
      </c>
      <c r="G232" s="1">
        <v>30</v>
      </c>
      <c r="H232" s="1">
        <v>14.5</v>
      </c>
    </row>
    <row r="233" spans="1:8" x14ac:dyDescent="0.25">
      <c r="A233" s="2">
        <v>44794</v>
      </c>
      <c r="B233" s="1">
        <v>8</v>
      </c>
      <c r="C233" s="1">
        <v>54</v>
      </c>
      <c r="D233" s="1">
        <v>41.28</v>
      </c>
      <c r="E233" s="1" t="s">
        <v>92</v>
      </c>
      <c r="F233" s="1">
        <v>18</v>
      </c>
      <c r="G233" s="1">
        <v>12</v>
      </c>
      <c r="H233" s="1">
        <v>17.2</v>
      </c>
    </row>
    <row r="234" spans="1:8" x14ac:dyDescent="0.25">
      <c r="A234" s="2">
        <v>44795</v>
      </c>
      <c r="B234" s="1">
        <v>8</v>
      </c>
      <c r="C234" s="1">
        <v>59</v>
      </c>
      <c r="D234" s="1">
        <v>41.53</v>
      </c>
      <c r="E234" s="1" t="s">
        <v>92</v>
      </c>
      <c r="F234" s="1">
        <v>17</v>
      </c>
      <c r="G234" s="1">
        <v>53</v>
      </c>
      <c r="H234" s="1">
        <v>48.8</v>
      </c>
    </row>
    <row r="235" spans="1:8" x14ac:dyDescent="0.25">
      <c r="A235" s="2">
        <v>44796</v>
      </c>
      <c r="B235" s="1">
        <v>9</v>
      </c>
      <c r="C235" s="1">
        <v>4</v>
      </c>
      <c r="D235" s="1">
        <v>40.840000000000003</v>
      </c>
      <c r="E235" s="1" t="s">
        <v>92</v>
      </c>
      <c r="F235" s="1">
        <v>17</v>
      </c>
      <c r="G235" s="1">
        <v>34</v>
      </c>
      <c r="H235" s="1">
        <v>49.9</v>
      </c>
    </row>
    <row r="236" spans="1:8" x14ac:dyDescent="0.25">
      <c r="A236" s="2">
        <v>44797</v>
      </c>
      <c r="B236" s="1">
        <v>9</v>
      </c>
      <c r="C236" s="1">
        <v>9</v>
      </c>
      <c r="D236" s="1">
        <v>39.200000000000003</v>
      </c>
      <c r="E236" s="1" t="s">
        <v>92</v>
      </c>
      <c r="F236" s="1">
        <v>17</v>
      </c>
      <c r="G236" s="1">
        <v>15</v>
      </c>
      <c r="H236" s="1">
        <v>21</v>
      </c>
    </row>
    <row r="237" spans="1:8" x14ac:dyDescent="0.25">
      <c r="A237" s="2">
        <v>44798</v>
      </c>
      <c r="B237" s="1">
        <v>9</v>
      </c>
      <c r="C237" s="1">
        <v>14</v>
      </c>
      <c r="D237" s="1">
        <v>36.619999999999997</v>
      </c>
      <c r="E237" s="1" t="s">
        <v>92</v>
      </c>
      <c r="F237" s="1">
        <v>16</v>
      </c>
      <c r="G237" s="1">
        <v>55</v>
      </c>
      <c r="H237" s="1">
        <v>22.7</v>
      </c>
    </row>
    <row r="238" spans="1:8" x14ac:dyDescent="0.25">
      <c r="A238" s="2">
        <v>44799</v>
      </c>
      <c r="B238" s="1">
        <v>9</v>
      </c>
      <c r="C238" s="1">
        <v>19</v>
      </c>
      <c r="D238" s="1">
        <v>33.08</v>
      </c>
      <c r="E238" s="1" t="s">
        <v>92</v>
      </c>
      <c r="F238" s="1">
        <v>16</v>
      </c>
      <c r="G238" s="1">
        <v>34</v>
      </c>
      <c r="H238" s="1">
        <v>55.7</v>
      </c>
    </row>
    <row r="239" spans="1:8" x14ac:dyDescent="0.25">
      <c r="A239" s="2">
        <v>44800</v>
      </c>
      <c r="B239" s="1">
        <v>9</v>
      </c>
      <c r="C239" s="1">
        <v>24</v>
      </c>
      <c r="D239" s="1">
        <v>28.58</v>
      </c>
      <c r="E239" s="1" t="s">
        <v>92</v>
      </c>
      <c r="F239" s="1">
        <v>16</v>
      </c>
      <c r="G239" s="1">
        <v>14</v>
      </c>
      <c r="H239" s="1">
        <v>0.6</v>
      </c>
    </row>
    <row r="240" spans="1:8" x14ac:dyDescent="0.25">
      <c r="A240" s="2">
        <v>44801</v>
      </c>
      <c r="B240" s="1">
        <v>9</v>
      </c>
      <c r="C240" s="1">
        <v>29</v>
      </c>
      <c r="D240" s="1">
        <v>23.12</v>
      </c>
      <c r="E240" s="1" t="s">
        <v>92</v>
      </c>
      <c r="F240" s="1">
        <v>15</v>
      </c>
      <c r="G240" s="1">
        <v>52</v>
      </c>
      <c r="H240" s="1">
        <v>38.1</v>
      </c>
    </row>
    <row r="241" spans="1:8" x14ac:dyDescent="0.25">
      <c r="A241" s="2">
        <v>44802</v>
      </c>
      <c r="B241" s="1">
        <v>9</v>
      </c>
      <c r="C241" s="1">
        <v>34</v>
      </c>
      <c r="D241" s="1">
        <v>16.71</v>
      </c>
      <c r="E241" s="1" t="s">
        <v>92</v>
      </c>
      <c r="F241" s="1">
        <v>15</v>
      </c>
      <c r="G241" s="1">
        <v>30</v>
      </c>
      <c r="H241" s="1">
        <v>48.7</v>
      </c>
    </row>
    <row r="242" spans="1:8" x14ac:dyDescent="0.25">
      <c r="A242" s="2">
        <v>44803</v>
      </c>
      <c r="B242" s="1">
        <v>9</v>
      </c>
      <c r="C242" s="1">
        <v>39</v>
      </c>
      <c r="D242" s="1">
        <v>9.35</v>
      </c>
      <c r="E242" s="1" t="s">
        <v>92</v>
      </c>
      <c r="F242" s="1">
        <v>15</v>
      </c>
      <c r="G242" s="1">
        <v>8</v>
      </c>
      <c r="H242" s="1">
        <v>33.299999999999997</v>
      </c>
    </row>
    <row r="243" spans="1:8" x14ac:dyDescent="0.25">
      <c r="A243" s="2">
        <v>44804</v>
      </c>
      <c r="B243" s="1">
        <v>9</v>
      </c>
      <c r="C243" s="1">
        <v>44</v>
      </c>
      <c r="D243" s="1">
        <v>1.03</v>
      </c>
      <c r="E243" s="1" t="s">
        <v>92</v>
      </c>
      <c r="F243" s="1">
        <v>14</v>
      </c>
      <c r="G243" s="1">
        <v>45</v>
      </c>
      <c r="H243" s="1">
        <v>52.4</v>
      </c>
    </row>
    <row r="244" spans="1:8" x14ac:dyDescent="0.25">
      <c r="A244" s="2" t="s">
        <v>154</v>
      </c>
      <c r="B244" s="1">
        <v>9</v>
      </c>
      <c r="C244" s="1">
        <v>48</v>
      </c>
      <c r="D244" s="1">
        <v>51.78</v>
      </c>
      <c r="E244" s="1" t="s">
        <v>92</v>
      </c>
      <c r="F244" s="1">
        <v>14</v>
      </c>
      <c r="G244" s="1">
        <v>22</v>
      </c>
      <c r="H244" s="1">
        <v>46.7</v>
      </c>
    </row>
    <row r="245" spans="1:8" x14ac:dyDescent="0.25">
      <c r="A245" s="2" t="s">
        <v>155</v>
      </c>
      <c r="B245" s="1">
        <v>9</v>
      </c>
      <c r="C245" s="1">
        <v>53</v>
      </c>
      <c r="D245" s="1">
        <v>41.6</v>
      </c>
      <c r="E245" s="1" t="s">
        <v>92</v>
      </c>
      <c r="F245" s="1">
        <v>13</v>
      </c>
      <c r="G245" s="1">
        <v>59</v>
      </c>
      <c r="H245" s="1">
        <v>16.899999999999999</v>
      </c>
    </row>
    <row r="246" spans="1:8" x14ac:dyDescent="0.25">
      <c r="A246" s="2" t="s">
        <v>156</v>
      </c>
      <c r="B246" s="1">
        <v>9</v>
      </c>
      <c r="C246" s="1">
        <v>58</v>
      </c>
      <c r="D246" s="1">
        <v>30.49</v>
      </c>
      <c r="E246" s="1" t="s">
        <v>92</v>
      </c>
      <c r="F246" s="1">
        <v>13</v>
      </c>
      <c r="G246" s="1">
        <v>35</v>
      </c>
      <c r="H246" s="1">
        <v>23.8</v>
      </c>
    </row>
    <row r="247" spans="1:8" x14ac:dyDescent="0.25">
      <c r="A247" s="2" t="s">
        <v>157</v>
      </c>
      <c r="B247" s="1">
        <v>10</v>
      </c>
      <c r="C247" s="1">
        <v>3</v>
      </c>
      <c r="D247" s="1">
        <v>18.489999999999998</v>
      </c>
      <c r="E247" s="1" t="s">
        <v>92</v>
      </c>
      <c r="F247" s="1">
        <v>13</v>
      </c>
      <c r="G247" s="1">
        <v>11</v>
      </c>
      <c r="H247" s="1">
        <v>8</v>
      </c>
    </row>
    <row r="248" spans="1:8" x14ac:dyDescent="0.25">
      <c r="A248" s="2" t="s">
        <v>158</v>
      </c>
      <c r="B248" s="1">
        <v>10</v>
      </c>
      <c r="C248" s="1">
        <v>8</v>
      </c>
      <c r="D248" s="1">
        <v>5.59</v>
      </c>
      <c r="E248" s="1" t="s">
        <v>92</v>
      </c>
      <c r="F248" s="1">
        <v>12</v>
      </c>
      <c r="G248" s="1">
        <v>46</v>
      </c>
      <c r="H248" s="1">
        <v>30.1</v>
      </c>
    </row>
    <row r="249" spans="1:8" x14ac:dyDescent="0.25">
      <c r="A249" s="2" t="s">
        <v>159</v>
      </c>
      <c r="B249" s="1">
        <v>10</v>
      </c>
      <c r="C249" s="1">
        <v>12</v>
      </c>
      <c r="D249" s="1">
        <v>51.83</v>
      </c>
      <c r="E249" s="1" t="s">
        <v>92</v>
      </c>
      <c r="F249" s="1">
        <v>12</v>
      </c>
      <c r="G249" s="1">
        <v>21</v>
      </c>
      <c r="H249" s="1">
        <v>30.9</v>
      </c>
    </row>
    <row r="250" spans="1:8" x14ac:dyDescent="0.25">
      <c r="A250" s="2" t="s">
        <v>160</v>
      </c>
      <c r="B250" s="1">
        <v>10</v>
      </c>
      <c r="C250" s="1">
        <v>17</v>
      </c>
      <c r="D250" s="1">
        <v>37.22</v>
      </c>
      <c r="E250" s="1" t="s">
        <v>92</v>
      </c>
      <c r="F250" s="1">
        <v>11</v>
      </c>
      <c r="G250" s="1">
        <v>56</v>
      </c>
      <c r="H250" s="1">
        <v>11.2</v>
      </c>
    </row>
    <row r="251" spans="1:8" x14ac:dyDescent="0.25">
      <c r="A251" s="2" t="s">
        <v>161</v>
      </c>
      <c r="B251" s="1">
        <v>10</v>
      </c>
      <c r="C251" s="1">
        <v>22</v>
      </c>
      <c r="D251" s="1">
        <v>21.78</v>
      </c>
      <c r="E251" s="1" t="s">
        <v>92</v>
      </c>
      <c r="F251" s="1">
        <v>11</v>
      </c>
      <c r="G251" s="1">
        <v>30</v>
      </c>
      <c r="H251" s="1">
        <v>31.4</v>
      </c>
    </row>
    <row r="252" spans="1:8" x14ac:dyDescent="0.25">
      <c r="A252" s="2" t="s">
        <v>162</v>
      </c>
      <c r="B252" s="1">
        <v>10</v>
      </c>
      <c r="C252" s="1">
        <v>27</v>
      </c>
      <c r="D252" s="1">
        <v>5.54</v>
      </c>
      <c r="E252" s="1" t="s">
        <v>92</v>
      </c>
      <c r="F252" s="1">
        <v>11</v>
      </c>
      <c r="G252" s="1">
        <v>4</v>
      </c>
      <c r="H252" s="1">
        <v>32.5</v>
      </c>
    </row>
    <row r="253" spans="1:8" x14ac:dyDescent="0.25">
      <c r="A253" s="2" t="s">
        <v>163</v>
      </c>
      <c r="B253" s="1">
        <v>10</v>
      </c>
      <c r="C253" s="1">
        <v>31</v>
      </c>
      <c r="D253" s="1">
        <v>48.53</v>
      </c>
      <c r="E253" s="1" t="s">
        <v>92</v>
      </c>
      <c r="F253" s="1">
        <v>10</v>
      </c>
      <c r="G253" s="1">
        <v>38</v>
      </c>
      <c r="H253" s="1">
        <v>15</v>
      </c>
    </row>
    <row r="254" spans="1:8" x14ac:dyDescent="0.25">
      <c r="A254" s="2" t="s">
        <v>164</v>
      </c>
      <c r="B254" s="1">
        <v>10</v>
      </c>
      <c r="C254" s="1">
        <v>36</v>
      </c>
      <c r="D254" s="1">
        <v>30.77</v>
      </c>
      <c r="E254" s="1" t="s">
        <v>92</v>
      </c>
      <c r="F254" s="1">
        <v>10</v>
      </c>
      <c r="G254" s="1">
        <v>11</v>
      </c>
      <c r="H254" s="1">
        <v>39.6</v>
      </c>
    </row>
    <row r="255" spans="1:8" x14ac:dyDescent="0.25">
      <c r="A255" s="2" t="s">
        <v>165</v>
      </c>
      <c r="B255" s="1">
        <v>10</v>
      </c>
      <c r="C255" s="1">
        <v>41</v>
      </c>
      <c r="D255" s="1">
        <v>12.29</v>
      </c>
      <c r="E255" s="1" t="s">
        <v>92</v>
      </c>
      <c r="F255" s="1">
        <v>9</v>
      </c>
      <c r="G255" s="1">
        <v>44</v>
      </c>
      <c r="H255" s="1">
        <v>47.1</v>
      </c>
    </row>
    <row r="256" spans="1:8" x14ac:dyDescent="0.25">
      <c r="A256" s="2" t="s">
        <v>166</v>
      </c>
      <c r="B256" s="1">
        <v>10</v>
      </c>
      <c r="C256" s="1">
        <v>45</v>
      </c>
      <c r="D256" s="1">
        <v>53.12</v>
      </c>
      <c r="E256" s="1" t="s">
        <v>92</v>
      </c>
      <c r="F256" s="1">
        <v>9</v>
      </c>
      <c r="G256" s="1">
        <v>17</v>
      </c>
      <c r="H256" s="1">
        <v>38.1</v>
      </c>
    </row>
    <row r="257" spans="1:8" x14ac:dyDescent="0.25">
      <c r="A257" s="2" t="s">
        <v>167</v>
      </c>
      <c r="B257" s="1">
        <v>10</v>
      </c>
      <c r="C257" s="1">
        <v>50</v>
      </c>
      <c r="D257" s="1">
        <v>33.299999999999997</v>
      </c>
      <c r="E257" s="1" t="s">
        <v>92</v>
      </c>
      <c r="F257" s="1">
        <v>8</v>
      </c>
      <c r="G257" s="1">
        <v>50</v>
      </c>
      <c r="H257" s="1">
        <v>13.3</v>
      </c>
    </row>
    <row r="258" spans="1:8" x14ac:dyDescent="0.25">
      <c r="A258" s="2" t="s">
        <v>168</v>
      </c>
      <c r="B258" s="1">
        <v>10</v>
      </c>
      <c r="C258" s="1">
        <v>55</v>
      </c>
      <c r="D258" s="1">
        <v>12.84</v>
      </c>
      <c r="E258" s="1" t="s">
        <v>92</v>
      </c>
      <c r="F258" s="1">
        <v>8</v>
      </c>
      <c r="G258" s="1">
        <v>22</v>
      </c>
      <c r="H258" s="1">
        <v>33.5</v>
      </c>
    </row>
    <row r="259" spans="1:8" x14ac:dyDescent="0.25">
      <c r="A259" s="2" t="s">
        <v>169</v>
      </c>
      <c r="B259" s="1">
        <v>10</v>
      </c>
      <c r="C259" s="1">
        <v>59</v>
      </c>
      <c r="D259" s="1">
        <v>51.79</v>
      </c>
      <c r="E259" s="1" t="s">
        <v>92</v>
      </c>
      <c r="F259" s="1">
        <v>7</v>
      </c>
      <c r="G259" s="1">
        <v>54</v>
      </c>
      <c r="H259" s="1">
        <v>39.299999999999997</v>
      </c>
    </row>
    <row r="260" spans="1:8" x14ac:dyDescent="0.25">
      <c r="A260" s="2" t="s">
        <v>170</v>
      </c>
      <c r="B260" s="1">
        <v>11</v>
      </c>
      <c r="C260" s="1">
        <v>4</v>
      </c>
      <c r="D260" s="1">
        <v>30.17</v>
      </c>
      <c r="E260" s="1" t="s">
        <v>92</v>
      </c>
      <c r="F260" s="1">
        <v>7</v>
      </c>
      <c r="G260" s="1">
        <v>26</v>
      </c>
      <c r="H260" s="1">
        <v>31.5</v>
      </c>
    </row>
    <row r="261" spans="1:8" x14ac:dyDescent="0.25">
      <c r="A261" s="2" t="s">
        <v>171</v>
      </c>
      <c r="B261" s="1">
        <v>11</v>
      </c>
      <c r="C261" s="1">
        <v>9</v>
      </c>
      <c r="D261" s="1">
        <v>8.01</v>
      </c>
      <c r="E261" s="1" t="s">
        <v>92</v>
      </c>
      <c r="F261" s="1">
        <v>6</v>
      </c>
      <c r="G261" s="1">
        <v>58</v>
      </c>
      <c r="H261" s="1">
        <v>10.8</v>
      </c>
    </row>
    <row r="262" spans="1:8" x14ac:dyDescent="0.25">
      <c r="A262" s="2" t="s">
        <v>172</v>
      </c>
      <c r="B262" s="1">
        <v>11</v>
      </c>
      <c r="C262" s="1">
        <v>13</v>
      </c>
      <c r="D262" s="1">
        <v>45.36</v>
      </c>
      <c r="E262" s="1" t="s">
        <v>92</v>
      </c>
      <c r="F262" s="1">
        <v>6</v>
      </c>
      <c r="G262" s="1">
        <v>29</v>
      </c>
      <c r="H262" s="1">
        <v>37.9</v>
      </c>
    </row>
    <row r="263" spans="1:8" x14ac:dyDescent="0.25">
      <c r="A263" s="2" t="s">
        <v>173</v>
      </c>
      <c r="B263" s="1">
        <v>11</v>
      </c>
      <c r="C263" s="1">
        <v>18</v>
      </c>
      <c r="D263" s="1">
        <v>22.24</v>
      </c>
      <c r="E263" s="1" t="s">
        <v>92</v>
      </c>
      <c r="F263" s="1">
        <v>6</v>
      </c>
      <c r="G263" s="1">
        <v>0</v>
      </c>
      <c r="H263" s="1">
        <v>53.5</v>
      </c>
    </row>
    <row r="264" spans="1:8" x14ac:dyDescent="0.25">
      <c r="A264" s="2" t="s">
        <v>174</v>
      </c>
      <c r="B264" s="1">
        <v>11</v>
      </c>
      <c r="C264" s="1">
        <v>22</v>
      </c>
      <c r="D264" s="1">
        <v>58.68</v>
      </c>
      <c r="E264" s="1" t="s">
        <v>92</v>
      </c>
      <c r="F264" s="1">
        <v>5</v>
      </c>
      <c r="G264" s="1">
        <v>31</v>
      </c>
      <c r="H264" s="1">
        <v>58.3</v>
      </c>
    </row>
    <row r="265" spans="1:8" x14ac:dyDescent="0.25">
      <c r="A265" s="2" t="s">
        <v>175</v>
      </c>
      <c r="B265" s="1">
        <v>11</v>
      </c>
      <c r="C265" s="1">
        <v>27</v>
      </c>
      <c r="D265" s="1">
        <v>34.729999999999997</v>
      </c>
      <c r="E265" s="1" t="s">
        <v>92</v>
      </c>
      <c r="F265" s="1">
        <v>5</v>
      </c>
      <c r="G265" s="1">
        <v>2</v>
      </c>
      <c r="H265" s="1">
        <v>53.1</v>
      </c>
    </row>
    <row r="266" spans="1:8" x14ac:dyDescent="0.25">
      <c r="A266" s="2" t="s">
        <v>176</v>
      </c>
      <c r="B266" s="1">
        <v>11</v>
      </c>
      <c r="C266" s="1">
        <v>32</v>
      </c>
      <c r="D266" s="1">
        <v>10.41</v>
      </c>
      <c r="E266" s="1" t="s">
        <v>92</v>
      </c>
      <c r="F266" s="1">
        <v>4</v>
      </c>
      <c r="G266" s="1">
        <v>33</v>
      </c>
      <c r="H266" s="1">
        <v>38.700000000000003</v>
      </c>
    </row>
    <row r="267" spans="1:8" x14ac:dyDescent="0.25">
      <c r="A267" s="2" t="s">
        <v>177</v>
      </c>
      <c r="B267" s="1">
        <v>11</v>
      </c>
      <c r="C267" s="1">
        <v>36</v>
      </c>
      <c r="D267" s="1">
        <v>45.77</v>
      </c>
      <c r="E267" s="1" t="s">
        <v>92</v>
      </c>
      <c r="F267" s="1">
        <v>4</v>
      </c>
      <c r="G267" s="1">
        <v>4</v>
      </c>
      <c r="H267" s="1">
        <v>15.7</v>
      </c>
    </row>
    <row r="268" spans="1:8" x14ac:dyDescent="0.25">
      <c r="A268" s="2" t="s">
        <v>178</v>
      </c>
      <c r="B268" s="1">
        <v>11</v>
      </c>
      <c r="C268" s="1">
        <v>41</v>
      </c>
      <c r="D268" s="1">
        <v>20.83</v>
      </c>
      <c r="E268" s="1" t="s">
        <v>92</v>
      </c>
      <c r="F268" s="1">
        <v>3</v>
      </c>
      <c r="G268" s="1">
        <v>34</v>
      </c>
      <c r="H268" s="1">
        <v>44.9</v>
      </c>
    </row>
    <row r="269" spans="1:8" x14ac:dyDescent="0.25">
      <c r="A269" s="2" t="s">
        <v>179</v>
      </c>
      <c r="B269" s="1">
        <v>11</v>
      </c>
      <c r="C269" s="1">
        <v>45</v>
      </c>
      <c r="D269" s="1">
        <v>55.64</v>
      </c>
      <c r="E269" s="1" t="s">
        <v>92</v>
      </c>
      <c r="F269" s="1">
        <v>3</v>
      </c>
      <c r="G269" s="1">
        <v>5</v>
      </c>
      <c r="H269" s="1">
        <v>7</v>
      </c>
    </row>
    <row r="270" spans="1:8" x14ac:dyDescent="0.25">
      <c r="A270" s="2" t="s">
        <v>180</v>
      </c>
      <c r="B270" s="1">
        <v>11</v>
      </c>
      <c r="C270" s="1">
        <v>50</v>
      </c>
      <c r="D270" s="1">
        <v>30.23</v>
      </c>
      <c r="E270" s="1" t="s">
        <v>92</v>
      </c>
      <c r="F270" s="1">
        <v>2</v>
      </c>
      <c r="G270" s="1">
        <v>35</v>
      </c>
      <c r="H270" s="1">
        <v>22.8</v>
      </c>
    </row>
    <row r="271" spans="1:8" x14ac:dyDescent="0.25">
      <c r="A271" s="2" t="s">
        <v>181</v>
      </c>
      <c r="B271" s="1">
        <v>11</v>
      </c>
      <c r="C271" s="1">
        <v>55</v>
      </c>
      <c r="D271" s="1">
        <v>4.6399999999999997</v>
      </c>
      <c r="E271" s="1" t="s">
        <v>92</v>
      </c>
      <c r="F271" s="1">
        <v>2</v>
      </c>
      <c r="G271" s="1">
        <v>5</v>
      </c>
      <c r="H271" s="1">
        <v>33.1</v>
      </c>
    </row>
    <row r="272" spans="1:8" x14ac:dyDescent="0.25">
      <c r="A272" s="2" t="s">
        <v>182</v>
      </c>
      <c r="B272" s="1">
        <v>11</v>
      </c>
      <c r="C272" s="1">
        <v>59</v>
      </c>
      <c r="D272" s="1">
        <v>38.909999999999997</v>
      </c>
      <c r="E272" s="1" t="s">
        <v>92</v>
      </c>
      <c r="F272" s="1">
        <v>1</v>
      </c>
      <c r="G272" s="1">
        <v>35</v>
      </c>
      <c r="H272" s="1">
        <v>38.5</v>
      </c>
    </row>
    <row r="273" spans="1:8" x14ac:dyDescent="0.25">
      <c r="A273" s="2" t="s">
        <v>183</v>
      </c>
      <c r="B273" s="1">
        <v>12</v>
      </c>
      <c r="C273" s="1">
        <v>4</v>
      </c>
      <c r="D273" s="1">
        <v>13.07</v>
      </c>
      <c r="E273" s="1" t="s">
        <v>92</v>
      </c>
      <c r="F273" s="1">
        <v>1</v>
      </c>
      <c r="G273" s="1">
        <v>5</v>
      </c>
      <c r="H273" s="1">
        <v>39.9</v>
      </c>
    </row>
    <row r="274" spans="1:8" x14ac:dyDescent="0.25">
      <c r="A274" s="2" t="s">
        <v>184</v>
      </c>
      <c r="B274" s="1">
        <v>12</v>
      </c>
      <c r="C274" s="1">
        <v>8</v>
      </c>
      <c r="D274" s="1">
        <v>47.17</v>
      </c>
      <c r="E274" s="1" t="s">
        <v>92</v>
      </c>
      <c r="F274" s="1">
        <v>0</v>
      </c>
      <c r="G274" s="1">
        <v>35</v>
      </c>
      <c r="H274" s="1">
        <v>37.9</v>
      </c>
    </row>
    <row r="275" spans="1:8" x14ac:dyDescent="0.25">
      <c r="A275" s="2" t="s">
        <v>185</v>
      </c>
      <c r="B275" s="1">
        <v>12</v>
      </c>
      <c r="C275" s="1">
        <v>13</v>
      </c>
      <c r="D275" s="1">
        <v>21.23</v>
      </c>
      <c r="E275" s="1" t="s">
        <v>92</v>
      </c>
      <c r="F275" s="1">
        <v>0</v>
      </c>
      <c r="G275" s="1">
        <v>5</v>
      </c>
      <c r="H275" s="1">
        <v>33.299999999999997</v>
      </c>
    </row>
    <row r="276" spans="1:8" x14ac:dyDescent="0.25">
      <c r="A276" s="2" t="s">
        <v>186</v>
      </c>
      <c r="B276" s="1">
        <v>12</v>
      </c>
      <c r="C276" s="1">
        <v>17</v>
      </c>
      <c r="D276" s="1">
        <v>55.32</v>
      </c>
      <c r="E276" s="1" t="s">
        <v>215</v>
      </c>
      <c r="F276" s="1">
        <v>0</v>
      </c>
      <c r="G276" s="1">
        <v>24</v>
      </c>
      <c r="H276" s="1">
        <v>33.1</v>
      </c>
    </row>
    <row r="277" spans="1:8" x14ac:dyDescent="0.25">
      <c r="A277" s="2" t="s">
        <v>187</v>
      </c>
      <c r="B277" s="1">
        <v>12</v>
      </c>
      <c r="C277" s="1">
        <v>22</v>
      </c>
      <c r="D277" s="1">
        <v>29.45</v>
      </c>
      <c r="E277" s="1" t="s">
        <v>215</v>
      </c>
      <c r="F277" s="1">
        <v>0</v>
      </c>
      <c r="G277" s="1">
        <v>54</v>
      </c>
      <c r="H277" s="1">
        <v>40.6</v>
      </c>
    </row>
    <row r="278" spans="1:8" x14ac:dyDescent="0.25">
      <c r="A278" s="2" t="s">
        <v>188</v>
      </c>
      <c r="B278" s="1">
        <v>12</v>
      </c>
      <c r="C278" s="1">
        <v>27</v>
      </c>
      <c r="D278" s="1">
        <v>3.68</v>
      </c>
      <c r="E278" s="1" t="s">
        <v>215</v>
      </c>
      <c r="F278" s="1">
        <v>1</v>
      </c>
      <c r="G278" s="1">
        <v>24</v>
      </c>
      <c r="H278" s="1">
        <v>48.4</v>
      </c>
    </row>
    <row r="279" spans="1:8" x14ac:dyDescent="0.25">
      <c r="A279" s="2" t="s">
        <v>189</v>
      </c>
      <c r="B279" s="1">
        <v>12</v>
      </c>
      <c r="C279" s="1">
        <v>31</v>
      </c>
      <c r="D279" s="1">
        <v>38.049999999999997</v>
      </c>
      <c r="E279" s="1" t="s">
        <v>215</v>
      </c>
      <c r="F279" s="1">
        <v>1</v>
      </c>
      <c r="G279" s="1">
        <v>54</v>
      </c>
      <c r="H279" s="1">
        <v>55.9</v>
      </c>
    </row>
    <row r="280" spans="1:8" x14ac:dyDescent="0.25">
      <c r="A280" s="2" t="s">
        <v>190</v>
      </c>
      <c r="B280" s="1">
        <v>12</v>
      </c>
      <c r="C280" s="1">
        <v>36</v>
      </c>
      <c r="D280" s="1">
        <v>12.59</v>
      </c>
      <c r="E280" s="1" t="s">
        <v>215</v>
      </c>
      <c r="F280" s="1">
        <v>2</v>
      </c>
      <c r="G280" s="1">
        <v>25</v>
      </c>
      <c r="H280" s="1">
        <v>2.2000000000000002</v>
      </c>
    </row>
    <row r="281" spans="1:8" x14ac:dyDescent="0.25">
      <c r="A281" s="2" t="s">
        <v>191</v>
      </c>
      <c r="B281" s="1">
        <v>12</v>
      </c>
      <c r="C281" s="1">
        <v>40</v>
      </c>
      <c r="D281" s="1">
        <v>47.36</v>
      </c>
      <c r="E281" s="1" t="s">
        <v>215</v>
      </c>
      <c r="F281" s="1">
        <v>2</v>
      </c>
      <c r="G281" s="1">
        <v>55</v>
      </c>
      <c r="H281" s="1">
        <v>6.7</v>
      </c>
    </row>
    <row r="282" spans="1:8" x14ac:dyDescent="0.25">
      <c r="A282" s="2" t="s">
        <v>192</v>
      </c>
      <c r="B282" s="1">
        <v>12</v>
      </c>
      <c r="C282" s="1">
        <v>45</v>
      </c>
      <c r="D282" s="1">
        <v>22.4</v>
      </c>
      <c r="E282" s="1" t="s">
        <v>215</v>
      </c>
      <c r="F282" s="1">
        <v>3</v>
      </c>
      <c r="G282" s="1">
        <v>25</v>
      </c>
      <c r="H282" s="1">
        <v>8.6</v>
      </c>
    </row>
    <row r="283" spans="1:8" x14ac:dyDescent="0.25">
      <c r="A283" s="2" t="s">
        <v>193</v>
      </c>
      <c r="B283" s="1">
        <v>12</v>
      </c>
      <c r="C283" s="1">
        <v>49</v>
      </c>
      <c r="D283" s="1">
        <v>57.74</v>
      </c>
      <c r="E283" s="1" t="s">
        <v>215</v>
      </c>
      <c r="F283" s="1">
        <v>3</v>
      </c>
      <c r="G283" s="1">
        <v>55</v>
      </c>
      <c r="H283" s="1">
        <v>7.2</v>
      </c>
    </row>
    <row r="284" spans="1:8" x14ac:dyDescent="0.25">
      <c r="A284" s="2" t="s">
        <v>194</v>
      </c>
      <c r="B284" s="1">
        <v>12</v>
      </c>
      <c r="C284" s="1">
        <v>54</v>
      </c>
      <c r="D284" s="1">
        <v>33.44</v>
      </c>
      <c r="E284" s="1" t="s">
        <v>215</v>
      </c>
      <c r="F284" s="1">
        <v>4</v>
      </c>
      <c r="G284" s="1">
        <v>25</v>
      </c>
      <c r="H284" s="1">
        <v>1.8</v>
      </c>
    </row>
    <row r="285" spans="1:8" x14ac:dyDescent="0.25">
      <c r="A285" s="2" t="s">
        <v>195</v>
      </c>
      <c r="B285" s="1">
        <v>12</v>
      </c>
      <c r="C285" s="1">
        <v>59</v>
      </c>
      <c r="D285" s="1">
        <v>9.5399999999999991</v>
      </c>
      <c r="E285" s="1" t="s">
        <v>215</v>
      </c>
      <c r="F285" s="1">
        <v>4</v>
      </c>
      <c r="G285" s="1">
        <v>54</v>
      </c>
      <c r="H285" s="1">
        <v>51.6</v>
      </c>
    </row>
    <row r="286" spans="1:8" x14ac:dyDescent="0.25">
      <c r="A286" s="2" t="s">
        <v>196</v>
      </c>
      <c r="B286" s="1">
        <v>13</v>
      </c>
      <c r="C286" s="1">
        <v>3</v>
      </c>
      <c r="D286" s="1">
        <v>46.07</v>
      </c>
      <c r="E286" s="1" t="s">
        <v>215</v>
      </c>
      <c r="F286" s="1">
        <v>5</v>
      </c>
      <c r="G286" s="1">
        <v>24</v>
      </c>
      <c r="H286" s="1">
        <v>35.799999999999997</v>
      </c>
    </row>
    <row r="287" spans="1:8" x14ac:dyDescent="0.25">
      <c r="A287" s="2" t="s">
        <v>197</v>
      </c>
      <c r="B287" s="1">
        <v>13</v>
      </c>
      <c r="C287" s="1">
        <v>8</v>
      </c>
      <c r="D287" s="1">
        <v>23.08</v>
      </c>
      <c r="E287" s="1" t="s">
        <v>215</v>
      </c>
      <c r="F287" s="1">
        <v>5</v>
      </c>
      <c r="G287" s="1">
        <v>54</v>
      </c>
      <c r="H287" s="1">
        <v>13.8</v>
      </c>
    </row>
    <row r="288" spans="1:8" x14ac:dyDescent="0.25">
      <c r="A288" s="2" t="s">
        <v>198</v>
      </c>
      <c r="B288" s="1">
        <v>13</v>
      </c>
      <c r="C288" s="1">
        <v>13</v>
      </c>
      <c r="D288" s="1">
        <v>0.61</v>
      </c>
      <c r="E288" s="1" t="s">
        <v>215</v>
      </c>
      <c r="F288" s="1">
        <v>6</v>
      </c>
      <c r="G288" s="1">
        <v>23</v>
      </c>
      <c r="H288" s="1">
        <v>44.7</v>
      </c>
    </row>
    <row r="289" spans="1:8" x14ac:dyDescent="0.25">
      <c r="A289" s="2" t="s">
        <v>199</v>
      </c>
      <c r="B289" s="1">
        <v>13</v>
      </c>
      <c r="C289" s="1">
        <v>17</v>
      </c>
      <c r="D289" s="1">
        <v>38.71</v>
      </c>
      <c r="E289" s="1" t="s">
        <v>215</v>
      </c>
      <c r="F289" s="1">
        <v>6</v>
      </c>
      <c r="G289" s="1">
        <v>53</v>
      </c>
      <c r="H289" s="1">
        <v>7.9</v>
      </c>
    </row>
    <row r="290" spans="1:8" x14ac:dyDescent="0.25">
      <c r="A290" s="2" t="s">
        <v>200</v>
      </c>
      <c r="B290" s="1">
        <v>13</v>
      </c>
      <c r="C290" s="1">
        <v>22</v>
      </c>
      <c r="D290" s="1">
        <v>17.399999999999999</v>
      </c>
      <c r="E290" s="1" t="s">
        <v>215</v>
      </c>
      <c r="F290" s="1">
        <v>7</v>
      </c>
      <c r="G290" s="1">
        <v>22</v>
      </c>
      <c r="H290" s="1">
        <v>22.5</v>
      </c>
    </row>
    <row r="291" spans="1:8" x14ac:dyDescent="0.25">
      <c r="A291" s="2" t="s">
        <v>201</v>
      </c>
      <c r="B291" s="1">
        <v>13</v>
      </c>
      <c r="C291" s="1">
        <v>26</v>
      </c>
      <c r="D291" s="1">
        <v>56.73</v>
      </c>
      <c r="E291" s="1" t="s">
        <v>215</v>
      </c>
      <c r="F291" s="1">
        <v>7</v>
      </c>
      <c r="G291" s="1">
        <v>51</v>
      </c>
      <c r="H291" s="1">
        <v>27.7</v>
      </c>
    </row>
    <row r="292" spans="1:8" x14ac:dyDescent="0.25">
      <c r="A292" s="2" t="s">
        <v>202</v>
      </c>
      <c r="B292" s="1">
        <v>13</v>
      </c>
      <c r="C292" s="1">
        <v>31</v>
      </c>
      <c r="D292" s="1">
        <v>36.74</v>
      </c>
      <c r="E292" s="1" t="s">
        <v>215</v>
      </c>
      <c r="F292" s="1">
        <v>8</v>
      </c>
      <c r="G292" s="1">
        <v>20</v>
      </c>
      <c r="H292" s="1">
        <v>22.8</v>
      </c>
    </row>
    <row r="293" spans="1:8" x14ac:dyDescent="0.25">
      <c r="A293" s="2" t="s">
        <v>203</v>
      </c>
      <c r="B293" s="1">
        <v>13</v>
      </c>
      <c r="C293" s="1">
        <v>36</v>
      </c>
      <c r="D293" s="1">
        <v>17.46</v>
      </c>
      <c r="E293" s="1" t="s">
        <v>215</v>
      </c>
      <c r="F293" s="1">
        <v>8</v>
      </c>
      <c r="G293" s="1">
        <v>49</v>
      </c>
      <c r="H293" s="1">
        <v>7.1</v>
      </c>
    </row>
    <row r="294" spans="1:8" x14ac:dyDescent="0.25">
      <c r="A294" s="2" t="s">
        <v>204</v>
      </c>
      <c r="B294" s="1">
        <v>13</v>
      </c>
      <c r="C294" s="1">
        <v>40</v>
      </c>
      <c r="D294" s="1">
        <v>58.94</v>
      </c>
      <c r="E294" s="1" t="s">
        <v>215</v>
      </c>
      <c r="F294" s="1">
        <v>9</v>
      </c>
      <c r="G294" s="1">
        <v>17</v>
      </c>
      <c r="H294" s="1">
        <v>39.700000000000003</v>
      </c>
    </row>
    <row r="295" spans="1:8" x14ac:dyDescent="0.25">
      <c r="A295" s="2" t="s">
        <v>205</v>
      </c>
      <c r="B295" s="1">
        <v>13</v>
      </c>
      <c r="C295" s="1">
        <v>45</v>
      </c>
      <c r="D295" s="1">
        <v>41.2</v>
      </c>
      <c r="E295" s="1" t="s">
        <v>215</v>
      </c>
      <c r="F295" s="1">
        <v>9</v>
      </c>
      <c r="G295" s="1">
        <v>45</v>
      </c>
      <c r="H295" s="1">
        <v>59.8</v>
      </c>
    </row>
    <row r="296" spans="1:8" x14ac:dyDescent="0.25">
      <c r="A296" s="2" t="s">
        <v>206</v>
      </c>
      <c r="B296" s="1">
        <v>13</v>
      </c>
      <c r="C296" s="1">
        <v>50</v>
      </c>
      <c r="D296" s="1">
        <v>24.28</v>
      </c>
      <c r="E296" s="1" t="s">
        <v>215</v>
      </c>
      <c r="F296" s="1">
        <v>10</v>
      </c>
      <c r="G296" s="1">
        <v>14</v>
      </c>
      <c r="H296" s="1">
        <v>6.6</v>
      </c>
    </row>
    <row r="297" spans="1:8" x14ac:dyDescent="0.25">
      <c r="A297" s="2" t="s">
        <v>207</v>
      </c>
      <c r="B297" s="1">
        <v>13</v>
      </c>
      <c r="C297" s="1">
        <v>55</v>
      </c>
      <c r="D297" s="1">
        <v>8.2100000000000009</v>
      </c>
      <c r="E297" s="1" t="s">
        <v>215</v>
      </c>
      <c r="F297" s="1">
        <v>10</v>
      </c>
      <c r="G297" s="1">
        <v>41</v>
      </c>
      <c r="H297" s="1">
        <v>59.4</v>
      </c>
    </row>
    <row r="298" spans="1:8" x14ac:dyDescent="0.25">
      <c r="A298" s="2" t="s">
        <v>208</v>
      </c>
      <c r="B298" s="1">
        <v>13</v>
      </c>
      <c r="C298" s="1">
        <v>59</v>
      </c>
      <c r="D298" s="1">
        <v>53.03</v>
      </c>
      <c r="E298" s="1" t="s">
        <v>215</v>
      </c>
      <c r="F298" s="1">
        <v>11</v>
      </c>
      <c r="G298" s="1">
        <v>9</v>
      </c>
      <c r="H298" s="1">
        <v>37.299999999999997</v>
      </c>
    </row>
    <row r="299" spans="1:8" x14ac:dyDescent="0.25">
      <c r="A299" s="2" t="s">
        <v>209</v>
      </c>
      <c r="B299" s="1">
        <v>14</v>
      </c>
      <c r="C299" s="1">
        <v>4</v>
      </c>
      <c r="D299" s="1">
        <v>38.770000000000003</v>
      </c>
      <c r="E299" s="1" t="s">
        <v>215</v>
      </c>
      <c r="F299" s="1">
        <v>11</v>
      </c>
      <c r="G299" s="1">
        <v>36</v>
      </c>
      <c r="H299" s="1">
        <v>59.6</v>
      </c>
    </row>
    <row r="300" spans="1:8" x14ac:dyDescent="0.25">
      <c r="A300" s="2" t="s">
        <v>210</v>
      </c>
      <c r="B300" s="1">
        <v>14</v>
      </c>
      <c r="C300" s="1">
        <v>9</v>
      </c>
      <c r="D300" s="1">
        <v>25.45</v>
      </c>
      <c r="E300" s="1" t="s">
        <v>215</v>
      </c>
      <c r="F300" s="1">
        <v>12</v>
      </c>
      <c r="G300" s="1">
        <v>4</v>
      </c>
      <c r="H300" s="1">
        <v>5.3</v>
      </c>
    </row>
    <row r="301" spans="1:8" x14ac:dyDescent="0.25">
      <c r="A301" s="2" t="s">
        <v>211</v>
      </c>
      <c r="B301" s="1">
        <v>14</v>
      </c>
      <c r="C301" s="1">
        <v>14</v>
      </c>
      <c r="D301" s="1">
        <v>13.1</v>
      </c>
      <c r="E301" s="1" t="s">
        <v>215</v>
      </c>
      <c r="F301" s="1">
        <v>12</v>
      </c>
      <c r="G301" s="1">
        <v>30</v>
      </c>
      <c r="H301" s="1">
        <v>53.8</v>
      </c>
    </row>
    <row r="302" spans="1:8" x14ac:dyDescent="0.25">
      <c r="A302" s="2" t="s">
        <v>212</v>
      </c>
      <c r="B302" s="1">
        <v>14</v>
      </c>
      <c r="C302" s="1">
        <v>19</v>
      </c>
      <c r="D302" s="1">
        <v>1.75</v>
      </c>
      <c r="E302" s="1" t="s">
        <v>215</v>
      </c>
      <c r="F302" s="1">
        <v>12</v>
      </c>
      <c r="G302" s="1">
        <v>57</v>
      </c>
      <c r="H302" s="1">
        <v>24.1</v>
      </c>
    </row>
    <row r="303" spans="1:8" x14ac:dyDescent="0.25">
      <c r="A303" s="2" t="s">
        <v>213</v>
      </c>
      <c r="B303" s="1">
        <v>14</v>
      </c>
      <c r="C303" s="1">
        <v>23</v>
      </c>
      <c r="D303" s="1">
        <v>51.42</v>
      </c>
      <c r="E303" s="1" t="s">
        <v>215</v>
      </c>
      <c r="F303" s="1">
        <v>13</v>
      </c>
      <c r="G303" s="1">
        <v>23</v>
      </c>
      <c r="H303" s="1">
        <v>35.4</v>
      </c>
    </row>
    <row r="304" spans="1:8" x14ac:dyDescent="0.25">
      <c r="A304" s="2" t="s">
        <v>214</v>
      </c>
      <c r="B304" s="1">
        <v>14</v>
      </c>
      <c r="C304" s="1">
        <v>28</v>
      </c>
      <c r="D304" s="1">
        <v>42.14</v>
      </c>
      <c r="E304" s="1" t="s">
        <v>215</v>
      </c>
      <c r="F304" s="1">
        <v>13</v>
      </c>
      <c r="G304" s="1">
        <v>49</v>
      </c>
      <c r="H304" s="1">
        <v>27.1</v>
      </c>
    </row>
    <row r="305" spans="1:8" x14ac:dyDescent="0.25">
      <c r="A305" s="2">
        <v>44866</v>
      </c>
      <c r="B305" s="1">
        <v>14</v>
      </c>
      <c r="C305" s="1">
        <v>33</v>
      </c>
      <c r="D305" s="1">
        <v>33.94</v>
      </c>
      <c r="E305" s="1" t="s">
        <v>215</v>
      </c>
      <c r="F305" s="1">
        <v>14</v>
      </c>
      <c r="G305" s="1">
        <v>14</v>
      </c>
      <c r="H305" s="1">
        <v>58.1</v>
      </c>
    </row>
    <row r="306" spans="1:8" x14ac:dyDescent="0.25">
      <c r="A306" s="2">
        <v>44867</v>
      </c>
      <c r="B306" s="1">
        <v>14</v>
      </c>
      <c r="C306" s="1">
        <v>38</v>
      </c>
      <c r="D306" s="1">
        <v>26.83</v>
      </c>
      <c r="E306" s="1" t="s">
        <v>215</v>
      </c>
      <c r="F306" s="1">
        <v>14</v>
      </c>
      <c r="G306" s="1">
        <v>40</v>
      </c>
      <c r="H306" s="1">
        <v>7.8</v>
      </c>
    </row>
    <row r="307" spans="1:8" x14ac:dyDescent="0.25">
      <c r="A307" s="2">
        <v>44868</v>
      </c>
      <c r="B307" s="1">
        <v>14</v>
      </c>
      <c r="C307" s="1">
        <v>43</v>
      </c>
      <c r="D307" s="1">
        <v>20.83</v>
      </c>
      <c r="E307" s="1" t="s">
        <v>215</v>
      </c>
      <c r="F307" s="1">
        <v>15</v>
      </c>
      <c r="G307" s="1">
        <v>4</v>
      </c>
      <c r="H307" s="1">
        <v>55.3</v>
      </c>
    </row>
    <row r="308" spans="1:8" x14ac:dyDescent="0.25">
      <c r="A308" s="2">
        <v>44869</v>
      </c>
      <c r="B308" s="1">
        <v>14</v>
      </c>
      <c r="C308" s="1">
        <v>48</v>
      </c>
      <c r="D308" s="1">
        <v>15.97</v>
      </c>
      <c r="E308" s="1" t="s">
        <v>215</v>
      </c>
      <c r="F308" s="1">
        <v>15</v>
      </c>
      <c r="G308" s="1">
        <v>29</v>
      </c>
      <c r="H308" s="1">
        <v>19.899999999999999</v>
      </c>
    </row>
    <row r="309" spans="1:8" x14ac:dyDescent="0.25">
      <c r="A309" s="2">
        <v>44870</v>
      </c>
      <c r="B309" s="1">
        <v>14</v>
      </c>
      <c r="C309" s="1">
        <v>53</v>
      </c>
      <c r="D309" s="1">
        <v>12.27</v>
      </c>
      <c r="E309" s="1" t="s">
        <v>215</v>
      </c>
      <c r="F309" s="1">
        <v>15</v>
      </c>
      <c r="G309" s="1">
        <v>53</v>
      </c>
      <c r="H309" s="1">
        <v>20.7</v>
      </c>
    </row>
    <row r="310" spans="1:8" x14ac:dyDescent="0.25">
      <c r="A310" s="2">
        <v>44871</v>
      </c>
      <c r="B310" s="1">
        <v>14</v>
      </c>
      <c r="C310" s="1">
        <v>58</v>
      </c>
      <c r="D310" s="1">
        <v>9.74</v>
      </c>
      <c r="E310" s="1" t="s">
        <v>215</v>
      </c>
      <c r="F310" s="1">
        <v>16</v>
      </c>
      <c r="G310" s="1">
        <v>16</v>
      </c>
      <c r="H310" s="1">
        <v>56.9</v>
      </c>
    </row>
    <row r="311" spans="1:8" x14ac:dyDescent="0.25">
      <c r="A311" s="2">
        <v>44872</v>
      </c>
      <c r="B311" s="1">
        <v>15</v>
      </c>
      <c r="C311" s="1">
        <v>3</v>
      </c>
      <c r="D311" s="1">
        <v>8.4</v>
      </c>
      <c r="E311" s="1" t="s">
        <v>215</v>
      </c>
      <c r="F311" s="1">
        <v>16</v>
      </c>
      <c r="G311" s="1">
        <v>40</v>
      </c>
      <c r="H311" s="1">
        <v>7.9</v>
      </c>
    </row>
    <row r="312" spans="1:8" x14ac:dyDescent="0.25">
      <c r="A312" s="2">
        <v>44873</v>
      </c>
      <c r="B312" s="1">
        <v>15</v>
      </c>
      <c r="C312" s="1">
        <v>8</v>
      </c>
      <c r="D312" s="1">
        <v>8.26</v>
      </c>
      <c r="E312" s="1" t="s">
        <v>215</v>
      </c>
      <c r="F312" s="1">
        <v>17</v>
      </c>
      <c r="G312" s="1">
        <v>2</v>
      </c>
      <c r="H312" s="1">
        <v>52.7</v>
      </c>
    </row>
    <row r="313" spans="1:8" x14ac:dyDescent="0.25">
      <c r="A313" s="2">
        <v>44874</v>
      </c>
      <c r="B313" s="1">
        <v>15</v>
      </c>
      <c r="C313" s="1">
        <v>13</v>
      </c>
      <c r="D313" s="1">
        <v>9.33</v>
      </c>
      <c r="E313" s="1" t="s">
        <v>215</v>
      </c>
      <c r="F313" s="1">
        <v>17</v>
      </c>
      <c r="G313" s="1">
        <v>25</v>
      </c>
      <c r="H313" s="1">
        <v>10.6</v>
      </c>
    </row>
    <row r="314" spans="1:8" x14ac:dyDescent="0.25">
      <c r="A314" s="2">
        <v>44875</v>
      </c>
      <c r="B314" s="1">
        <v>15</v>
      </c>
      <c r="C314" s="1">
        <v>18</v>
      </c>
      <c r="D314" s="1">
        <v>11.63</v>
      </c>
      <c r="E314" s="1" t="s">
        <v>215</v>
      </c>
      <c r="F314" s="1">
        <v>17</v>
      </c>
      <c r="G314" s="1">
        <v>47</v>
      </c>
      <c r="H314" s="1">
        <v>0.8</v>
      </c>
    </row>
    <row r="315" spans="1:8" x14ac:dyDescent="0.25">
      <c r="A315" s="2">
        <v>44876</v>
      </c>
      <c r="B315" s="1">
        <v>15</v>
      </c>
      <c r="C315" s="1">
        <v>23</v>
      </c>
      <c r="D315" s="1">
        <v>15.16</v>
      </c>
      <c r="E315" s="1" t="s">
        <v>215</v>
      </c>
      <c r="F315" s="1">
        <v>18</v>
      </c>
      <c r="G315" s="1">
        <v>8</v>
      </c>
      <c r="H315" s="1">
        <v>22.6</v>
      </c>
    </row>
    <row r="316" spans="1:8" x14ac:dyDescent="0.25">
      <c r="A316" s="2">
        <v>44877</v>
      </c>
      <c r="B316" s="1">
        <v>15</v>
      </c>
      <c r="C316" s="1">
        <v>28</v>
      </c>
      <c r="D316" s="1">
        <v>19.93</v>
      </c>
      <c r="E316" s="1" t="s">
        <v>215</v>
      </c>
      <c r="F316" s="1">
        <v>18</v>
      </c>
      <c r="G316" s="1">
        <v>29</v>
      </c>
      <c r="H316" s="1">
        <v>15.2</v>
      </c>
    </row>
    <row r="317" spans="1:8" x14ac:dyDescent="0.25">
      <c r="A317" s="2">
        <v>44878</v>
      </c>
      <c r="B317" s="1">
        <v>15</v>
      </c>
      <c r="C317" s="1">
        <v>33</v>
      </c>
      <c r="D317" s="1">
        <v>25.93</v>
      </c>
      <c r="E317" s="1" t="s">
        <v>215</v>
      </c>
      <c r="F317" s="1">
        <v>18</v>
      </c>
      <c r="G317" s="1">
        <v>49</v>
      </c>
      <c r="H317" s="1">
        <v>37.799999999999997</v>
      </c>
    </row>
    <row r="318" spans="1:8" x14ac:dyDescent="0.25">
      <c r="A318" s="2">
        <v>44879</v>
      </c>
      <c r="B318" s="1">
        <v>15</v>
      </c>
      <c r="C318" s="1">
        <v>38</v>
      </c>
      <c r="D318" s="1">
        <v>33.17</v>
      </c>
      <c r="E318" s="1" t="s">
        <v>215</v>
      </c>
      <c r="F318" s="1">
        <v>19</v>
      </c>
      <c r="G318" s="1">
        <v>9</v>
      </c>
      <c r="H318" s="1">
        <v>29.7</v>
      </c>
    </row>
    <row r="319" spans="1:8" x14ac:dyDescent="0.25">
      <c r="A319" s="2">
        <v>44880</v>
      </c>
      <c r="B319" s="1">
        <v>15</v>
      </c>
      <c r="C319" s="1">
        <v>43</v>
      </c>
      <c r="D319" s="1">
        <v>41.65</v>
      </c>
      <c r="E319" s="1" t="s">
        <v>215</v>
      </c>
      <c r="F319" s="1">
        <v>19</v>
      </c>
      <c r="G319" s="1">
        <v>28</v>
      </c>
      <c r="H319" s="1">
        <v>50</v>
      </c>
    </row>
    <row r="320" spans="1:8" x14ac:dyDescent="0.25">
      <c r="A320" s="2">
        <v>44881</v>
      </c>
      <c r="B320" s="1">
        <v>15</v>
      </c>
      <c r="C320" s="1">
        <v>48</v>
      </c>
      <c r="D320" s="1">
        <v>51.36</v>
      </c>
      <c r="E320" s="1" t="s">
        <v>215</v>
      </c>
      <c r="F320" s="1">
        <v>19</v>
      </c>
      <c r="G320" s="1">
        <v>47</v>
      </c>
      <c r="H320" s="1">
        <v>38.1</v>
      </c>
    </row>
    <row r="321" spans="1:8" x14ac:dyDescent="0.25">
      <c r="A321" s="2">
        <v>44882</v>
      </c>
      <c r="B321" s="1">
        <v>15</v>
      </c>
      <c r="C321" s="1">
        <v>54</v>
      </c>
      <c r="D321" s="1">
        <v>2.2799999999999998</v>
      </c>
      <c r="E321" s="1" t="s">
        <v>215</v>
      </c>
      <c r="F321" s="1">
        <v>20</v>
      </c>
      <c r="G321" s="1">
        <v>5</v>
      </c>
      <c r="H321" s="1">
        <v>53.3</v>
      </c>
    </row>
    <row r="322" spans="1:8" x14ac:dyDescent="0.25">
      <c r="A322" s="2">
        <v>44883</v>
      </c>
      <c r="B322" s="1">
        <v>15</v>
      </c>
      <c r="C322" s="1">
        <v>59</v>
      </c>
      <c r="D322" s="1">
        <v>14.41</v>
      </c>
      <c r="E322" s="1" t="s">
        <v>215</v>
      </c>
      <c r="F322" s="1">
        <v>20</v>
      </c>
      <c r="G322" s="1">
        <v>23</v>
      </c>
      <c r="H322" s="1">
        <v>34.700000000000003</v>
      </c>
    </row>
    <row r="323" spans="1:8" x14ac:dyDescent="0.25">
      <c r="A323" s="2">
        <v>44884</v>
      </c>
      <c r="B323" s="1">
        <v>16</v>
      </c>
      <c r="C323" s="1">
        <v>4</v>
      </c>
      <c r="D323" s="1">
        <v>27.74</v>
      </c>
      <c r="E323" s="1" t="s">
        <v>215</v>
      </c>
      <c r="F323" s="1">
        <v>20</v>
      </c>
      <c r="G323" s="1">
        <v>40</v>
      </c>
      <c r="H323" s="1">
        <v>41.7</v>
      </c>
    </row>
    <row r="324" spans="1:8" x14ac:dyDescent="0.25">
      <c r="A324" s="2">
        <v>44885</v>
      </c>
      <c r="B324" s="1">
        <v>16</v>
      </c>
      <c r="C324" s="1">
        <v>9</v>
      </c>
      <c r="D324" s="1">
        <v>42.24</v>
      </c>
      <c r="E324" s="1" t="s">
        <v>215</v>
      </c>
      <c r="F324" s="1">
        <v>20</v>
      </c>
      <c r="G324" s="1">
        <v>57</v>
      </c>
      <c r="H324" s="1">
        <v>13.5</v>
      </c>
    </row>
    <row r="325" spans="1:8" x14ac:dyDescent="0.25">
      <c r="A325" s="2">
        <v>44886</v>
      </c>
      <c r="B325" s="1">
        <v>16</v>
      </c>
      <c r="C325" s="1">
        <v>14</v>
      </c>
      <c r="D325" s="1">
        <v>57.89</v>
      </c>
      <c r="E325" s="1" t="s">
        <v>215</v>
      </c>
      <c r="F325" s="1">
        <v>21</v>
      </c>
      <c r="G325" s="1">
        <v>13</v>
      </c>
      <c r="H325" s="1">
        <v>9.6</v>
      </c>
    </row>
    <row r="326" spans="1:8" x14ac:dyDescent="0.25">
      <c r="A326" s="2">
        <v>44887</v>
      </c>
      <c r="B326" s="1">
        <v>16</v>
      </c>
      <c r="C326" s="1">
        <v>20</v>
      </c>
      <c r="D326" s="1">
        <v>14.67</v>
      </c>
      <c r="E326" s="1" t="s">
        <v>215</v>
      </c>
      <c r="F326" s="1">
        <v>21</v>
      </c>
      <c r="G326" s="1">
        <v>28</v>
      </c>
      <c r="H326" s="1">
        <v>29.1</v>
      </c>
    </row>
    <row r="327" spans="1:8" x14ac:dyDescent="0.25">
      <c r="A327" s="2">
        <v>44888</v>
      </c>
      <c r="B327" s="1">
        <v>16</v>
      </c>
      <c r="C327" s="1">
        <v>25</v>
      </c>
      <c r="D327" s="1">
        <v>32.549999999999997</v>
      </c>
      <c r="E327" s="1" t="s">
        <v>215</v>
      </c>
      <c r="F327" s="1">
        <v>21</v>
      </c>
      <c r="G327" s="1">
        <v>43</v>
      </c>
      <c r="H327" s="1">
        <v>11.5</v>
      </c>
    </row>
    <row r="328" spans="1:8" x14ac:dyDescent="0.25">
      <c r="A328" s="2">
        <v>44889</v>
      </c>
      <c r="B328" s="1">
        <v>16</v>
      </c>
      <c r="C328" s="1">
        <v>30</v>
      </c>
      <c r="D328" s="1">
        <v>51.5</v>
      </c>
      <c r="E328" s="1" t="s">
        <v>215</v>
      </c>
      <c r="F328" s="1">
        <v>21</v>
      </c>
      <c r="G328" s="1">
        <v>57</v>
      </c>
      <c r="H328" s="1">
        <v>16</v>
      </c>
    </row>
    <row r="329" spans="1:8" x14ac:dyDescent="0.25">
      <c r="A329" s="2">
        <v>44890</v>
      </c>
      <c r="B329" s="1">
        <v>16</v>
      </c>
      <c r="C329" s="1">
        <v>36</v>
      </c>
      <c r="D329" s="1">
        <v>11.49</v>
      </c>
      <c r="E329" s="1" t="s">
        <v>215</v>
      </c>
      <c r="F329" s="1">
        <v>22</v>
      </c>
      <c r="G329" s="1">
        <v>10</v>
      </c>
      <c r="H329" s="1">
        <v>42.1</v>
      </c>
    </row>
    <row r="330" spans="1:8" x14ac:dyDescent="0.25">
      <c r="A330" s="2">
        <v>44891</v>
      </c>
      <c r="B330" s="1">
        <v>16</v>
      </c>
      <c r="C330" s="1">
        <v>41</v>
      </c>
      <c r="D330" s="1">
        <v>32.47</v>
      </c>
      <c r="E330" s="1" t="s">
        <v>215</v>
      </c>
      <c r="F330" s="1">
        <v>22</v>
      </c>
      <c r="G330" s="1">
        <v>23</v>
      </c>
      <c r="H330" s="1">
        <v>29.2</v>
      </c>
    </row>
    <row r="331" spans="1:8" x14ac:dyDescent="0.25">
      <c r="A331" s="2">
        <v>44892</v>
      </c>
      <c r="B331" s="1">
        <v>16</v>
      </c>
      <c r="C331" s="1">
        <v>46</v>
      </c>
      <c r="D331" s="1">
        <v>54.4</v>
      </c>
      <c r="E331" s="1" t="s">
        <v>215</v>
      </c>
      <c r="F331" s="1">
        <v>22</v>
      </c>
      <c r="G331" s="1">
        <v>35</v>
      </c>
      <c r="H331" s="1">
        <v>36.6</v>
      </c>
    </row>
    <row r="332" spans="1:8" x14ac:dyDescent="0.25">
      <c r="A332" s="2">
        <v>44893</v>
      </c>
      <c r="B332" s="1">
        <v>16</v>
      </c>
      <c r="C332" s="1">
        <v>52</v>
      </c>
      <c r="D332" s="1">
        <v>17.25</v>
      </c>
      <c r="E332" s="1" t="s">
        <v>215</v>
      </c>
      <c r="F332" s="1">
        <v>22</v>
      </c>
      <c r="G332" s="1">
        <v>47</v>
      </c>
      <c r="H332" s="1">
        <v>3.9</v>
      </c>
    </row>
    <row r="333" spans="1:8" x14ac:dyDescent="0.25">
      <c r="A333" s="2">
        <v>44894</v>
      </c>
      <c r="B333" s="1">
        <v>16</v>
      </c>
      <c r="C333" s="1">
        <v>57</v>
      </c>
      <c r="D333" s="1">
        <v>40.96</v>
      </c>
      <c r="E333" s="1" t="s">
        <v>215</v>
      </c>
      <c r="F333" s="1">
        <v>22</v>
      </c>
      <c r="G333" s="1">
        <v>57</v>
      </c>
      <c r="H333" s="1">
        <v>50.4</v>
      </c>
    </row>
    <row r="334" spans="1:8" x14ac:dyDescent="0.25">
      <c r="A334" s="2">
        <v>44895</v>
      </c>
      <c r="B334" s="1">
        <v>17</v>
      </c>
      <c r="C334" s="1">
        <v>3</v>
      </c>
      <c r="D334" s="1">
        <v>5.5</v>
      </c>
      <c r="E334" s="1" t="s">
        <v>215</v>
      </c>
      <c r="F334" s="1">
        <v>23</v>
      </c>
      <c r="G334" s="1">
        <v>7</v>
      </c>
      <c r="H334" s="1">
        <v>55.7</v>
      </c>
    </row>
    <row r="335" spans="1:8" x14ac:dyDescent="0.25">
      <c r="A335" s="2">
        <v>44896</v>
      </c>
      <c r="B335" s="1">
        <v>17</v>
      </c>
      <c r="C335" s="1">
        <v>8</v>
      </c>
      <c r="D335" s="1">
        <v>30.8</v>
      </c>
      <c r="E335" s="1" t="s">
        <v>215</v>
      </c>
      <c r="F335" s="1">
        <v>23</v>
      </c>
      <c r="G335" s="1">
        <v>17</v>
      </c>
      <c r="H335" s="1">
        <v>19.399999999999999</v>
      </c>
    </row>
    <row r="336" spans="1:8" x14ac:dyDescent="0.25">
      <c r="A336" s="2">
        <v>44897</v>
      </c>
      <c r="B336" s="1">
        <v>17</v>
      </c>
      <c r="C336" s="1">
        <v>13</v>
      </c>
      <c r="D336" s="1">
        <v>56.83</v>
      </c>
      <c r="E336" s="1" t="s">
        <v>215</v>
      </c>
      <c r="F336" s="1">
        <v>23</v>
      </c>
      <c r="G336" s="1">
        <v>26</v>
      </c>
      <c r="H336" s="1">
        <v>0.9</v>
      </c>
    </row>
    <row r="337" spans="1:8" x14ac:dyDescent="0.25">
      <c r="A337" s="2">
        <v>44898</v>
      </c>
      <c r="B337" s="1">
        <v>17</v>
      </c>
      <c r="C337" s="1">
        <v>19</v>
      </c>
      <c r="D337" s="1">
        <v>23.52</v>
      </c>
      <c r="E337" s="1" t="s">
        <v>215</v>
      </c>
      <c r="F337" s="1">
        <v>23</v>
      </c>
      <c r="G337" s="1">
        <v>33</v>
      </c>
      <c r="H337" s="1">
        <v>59.9</v>
      </c>
    </row>
    <row r="338" spans="1:8" x14ac:dyDescent="0.25">
      <c r="A338" s="2">
        <v>44899</v>
      </c>
      <c r="B338" s="1">
        <v>17</v>
      </c>
      <c r="C338" s="1">
        <v>24</v>
      </c>
      <c r="D338" s="1">
        <v>50.83</v>
      </c>
      <c r="E338" s="1" t="s">
        <v>215</v>
      </c>
      <c r="F338" s="1">
        <v>23</v>
      </c>
      <c r="G338" s="1">
        <v>41</v>
      </c>
      <c r="H338" s="1">
        <v>16.100000000000001</v>
      </c>
    </row>
    <row r="339" spans="1:8" x14ac:dyDescent="0.25">
      <c r="A339" s="2">
        <v>44900</v>
      </c>
      <c r="B339" s="1">
        <v>17</v>
      </c>
      <c r="C339" s="1">
        <v>30</v>
      </c>
      <c r="D339" s="1">
        <v>18.7</v>
      </c>
      <c r="E339" s="1" t="s">
        <v>215</v>
      </c>
      <c r="F339" s="1">
        <v>23</v>
      </c>
      <c r="G339" s="1">
        <v>47</v>
      </c>
      <c r="H339" s="1">
        <v>48.9</v>
      </c>
    </row>
    <row r="340" spans="1:8" x14ac:dyDescent="0.25">
      <c r="A340" s="2">
        <v>44901</v>
      </c>
      <c r="B340" s="1">
        <v>17</v>
      </c>
      <c r="C340" s="1">
        <v>35</v>
      </c>
      <c r="D340" s="1">
        <v>47.07</v>
      </c>
      <c r="E340" s="1" t="s">
        <v>215</v>
      </c>
      <c r="F340" s="1">
        <v>23</v>
      </c>
      <c r="G340" s="1">
        <v>53</v>
      </c>
      <c r="H340" s="1">
        <v>38.200000000000003</v>
      </c>
    </row>
    <row r="341" spans="1:8" x14ac:dyDescent="0.25">
      <c r="A341" s="2">
        <v>44902</v>
      </c>
      <c r="B341" s="1">
        <v>17</v>
      </c>
      <c r="C341" s="1">
        <v>41</v>
      </c>
      <c r="D341" s="1">
        <v>15.88</v>
      </c>
      <c r="E341" s="1" t="s">
        <v>215</v>
      </c>
      <c r="F341" s="1">
        <v>23</v>
      </c>
      <c r="G341" s="1">
        <v>58</v>
      </c>
      <c r="H341" s="1">
        <v>43.6</v>
      </c>
    </row>
    <row r="342" spans="1:8" x14ac:dyDescent="0.25">
      <c r="A342" s="2">
        <v>44903</v>
      </c>
      <c r="B342" s="1">
        <v>17</v>
      </c>
      <c r="C342" s="1">
        <v>46</v>
      </c>
      <c r="D342" s="1">
        <v>45.08</v>
      </c>
      <c r="E342" s="1" t="s">
        <v>215</v>
      </c>
      <c r="F342" s="1">
        <v>24</v>
      </c>
      <c r="G342" s="1">
        <v>3</v>
      </c>
      <c r="H342" s="1">
        <v>5</v>
      </c>
    </row>
    <row r="343" spans="1:8" x14ac:dyDescent="0.25">
      <c r="A343" s="2">
        <v>44904</v>
      </c>
      <c r="B343" s="1">
        <v>17</v>
      </c>
      <c r="C343" s="1">
        <v>52</v>
      </c>
      <c r="D343" s="1">
        <v>14.61</v>
      </c>
      <c r="E343" s="1" t="s">
        <v>215</v>
      </c>
      <c r="F343" s="1">
        <v>24</v>
      </c>
      <c r="G343" s="1">
        <v>6</v>
      </c>
      <c r="H343" s="1">
        <v>41.9</v>
      </c>
    </row>
    <row r="344" spans="1:8" x14ac:dyDescent="0.25">
      <c r="A344" s="2">
        <v>44905</v>
      </c>
      <c r="B344" s="1">
        <v>17</v>
      </c>
      <c r="C344" s="1">
        <v>57</v>
      </c>
      <c r="D344" s="1">
        <v>44.4</v>
      </c>
      <c r="E344" s="1" t="s">
        <v>215</v>
      </c>
      <c r="F344" s="1">
        <v>24</v>
      </c>
      <c r="G344" s="1">
        <v>9</v>
      </c>
      <c r="H344" s="1">
        <v>34.4</v>
      </c>
    </row>
    <row r="345" spans="1:8" x14ac:dyDescent="0.25">
      <c r="A345" s="2">
        <v>44906</v>
      </c>
      <c r="B345" s="1">
        <v>18</v>
      </c>
      <c r="C345" s="1">
        <v>3</v>
      </c>
      <c r="D345" s="1">
        <v>14.39</v>
      </c>
      <c r="E345" s="1" t="s">
        <v>215</v>
      </c>
      <c r="F345" s="1">
        <v>24</v>
      </c>
      <c r="G345" s="1">
        <v>11</v>
      </c>
      <c r="H345" s="1">
        <v>42.2</v>
      </c>
    </row>
    <row r="346" spans="1:8" x14ac:dyDescent="0.25">
      <c r="A346" s="2">
        <v>44907</v>
      </c>
      <c r="B346" s="1">
        <v>18</v>
      </c>
      <c r="C346" s="1">
        <v>8</v>
      </c>
      <c r="D346" s="1">
        <v>44.52</v>
      </c>
      <c r="E346" s="1" t="s">
        <v>215</v>
      </c>
      <c r="F346" s="1">
        <v>24</v>
      </c>
      <c r="G346" s="1">
        <v>13</v>
      </c>
      <c r="H346" s="1">
        <v>5.2</v>
      </c>
    </row>
    <row r="347" spans="1:8" x14ac:dyDescent="0.25">
      <c r="A347" s="2">
        <v>44908</v>
      </c>
      <c r="B347" s="1">
        <v>18</v>
      </c>
      <c r="C347" s="1">
        <v>14</v>
      </c>
      <c r="D347" s="1">
        <v>14.72</v>
      </c>
      <c r="E347" s="1" t="s">
        <v>215</v>
      </c>
      <c r="F347" s="1">
        <v>24</v>
      </c>
      <c r="G347" s="1">
        <v>13</v>
      </c>
      <c r="H347" s="1">
        <v>43.3</v>
      </c>
    </row>
    <row r="348" spans="1:8" x14ac:dyDescent="0.25">
      <c r="A348" s="2">
        <v>44909</v>
      </c>
      <c r="B348" s="1">
        <v>18</v>
      </c>
      <c r="C348" s="1">
        <v>19</v>
      </c>
      <c r="D348" s="1">
        <v>44.93</v>
      </c>
      <c r="E348" s="1" t="s">
        <v>215</v>
      </c>
      <c r="F348" s="1">
        <v>24</v>
      </c>
      <c r="G348" s="1">
        <v>13</v>
      </c>
      <c r="H348" s="1">
        <v>36.4</v>
      </c>
    </row>
    <row r="349" spans="1:8" x14ac:dyDescent="0.25">
      <c r="A349" s="2">
        <v>44910</v>
      </c>
      <c r="B349" s="1">
        <v>18</v>
      </c>
      <c r="C349" s="1">
        <v>25</v>
      </c>
      <c r="D349" s="1">
        <v>15.09</v>
      </c>
      <c r="E349" s="1" t="s">
        <v>215</v>
      </c>
      <c r="F349" s="1">
        <v>24</v>
      </c>
      <c r="G349" s="1">
        <v>12</v>
      </c>
      <c r="H349" s="1">
        <v>44.5</v>
      </c>
    </row>
    <row r="350" spans="1:8" x14ac:dyDescent="0.25">
      <c r="A350" s="2">
        <v>44911</v>
      </c>
      <c r="B350" s="1">
        <v>18</v>
      </c>
      <c r="C350" s="1">
        <v>30</v>
      </c>
      <c r="D350" s="1">
        <v>45.12</v>
      </c>
      <c r="E350" s="1" t="s">
        <v>215</v>
      </c>
      <c r="F350" s="1">
        <v>24</v>
      </c>
      <c r="G350" s="1">
        <v>11</v>
      </c>
      <c r="H350" s="1">
        <v>7.7</v>
      </c>
    </row>
    <row r="351" spans="1:8" x14ac:dyDescent="0.25">
      <c r="A351" s="2">
        <v>44912</v>
      </c>
      <c r="B351" s="1">
        <v>18</v>
      </c>
      <c r="C351" s="1">
        <v>36</v>
      </c>
      <c r="D351" s="1">
        <v>14.97</v>
      </c>
      <c r="E351" s="1" t="s">
        <v>215</v>
      </c>
      <c r="F351" s="1">
        <v>24</v>
      </c>
      <c r="G351" s="1">
        <v>8</v>
      </c>
      <c r="H351" s="1">
        <v>46</v>
      </c>
    </row>
    <row r="352" spans="1:8" x14ac:dyDescent="0.25">
      <c r="A352" s="2">
        <v>44913</v>
      </c>
      <c r="B352" s="1">
        <v>18</v>
      </c>
      <c r="C352" s="1">
        <v>41</v>
      </c>
      <c r="D352" s="1">
        <v>44.57</v>
      </c>
      <c r="E352" s="1" t="s">
        <v>215</v>
      </c>
      <c r="F352" s="1">
        <v>24</v>
      </c>
      <c r="G352" s="1">
        <v>5</v>
      </c>
      <c r="H352" s="1">
        <v>39.5</v>
      </c>
    </row>
    <row r="353" spans="1:8" x14ac:dyDescent="0.25">
      <c r="A353" s="2">
        <v>44914</v>
      </c>
      <c r="B353" s="1">
        <v>18</v>
      </c>
      <c r="C353" s="1">
        <v>47</v>
      </c>
      <c r="D353" s="1">
        <v>13.85</v>
      </c>
      <c r="E353" s="1" t="s">
        <v>215</v>
      </c>
      <c r="F353" s="1">
        <v>24</v>
      </c>
      <c r="G353" s="1">
        <v>1</v>
      </c>
      <c r="H353" s="1">
        <v>48.2</v>
      </c>
    </row>
    <row r="354" spans="1:8" x14ac:dyDescent="0.25">
      <c r="A354" s="2">
        <v>44915</v>
      </c>
      <c r="B354" s="1">
        <v>18</v>
      </c>
      <c r="C354" s="1">
        <v>52</v>
      </c>
      <c r="D354" s="1">
        <v>42.75</v>
      </c>
      <c r="E354" s="1" t="s">
        <v>215</v>
      </c>
      <c r="F354" s="1">
        <v>23</v>
      </c>
      <c r="G354" s="1">
        <v>57</v>
      </c>
      <c r="H354" s="1">
        <v>12.4</v>
      </c>
    </row>
    <row r="355" spans="1:8" x14ac:dyDescent="0.25">
      <c r="A355" s="2">
        <v>44916</v>
      </c>
      <c r="B355" s="1">
        <v>18</v>
      </c>
      <c r="C355" s="1">
        <v>58</v>
      </c>
      <c r="D355" s="1">
        <v>11.2</v>
      </c>
      <c r="E355" s="1" t="s">
        <v>215</v>
      </c>
      <c r="F355" s="1">
        <v>23</v>
      </c>
      <c r="G355" s="1">
        <v>51</v>
      </c>
      <c r="H355" s="1">
        <v>52.2</v>
      </c>
    </row>
    <row r="356" spans="1:8" x14ac:dyDescent="0.25">
      <c r="A356" s="2">
        <v>44917</v>
      </c>
      <c r="B356" s="1">
        <v>19</v>
      </c>
      <c r="C356" s="1">
        <v>3</v>
      </c>
      <c r="D356" s="1">
        <v>39.15</v>
      </c>
      <c r="E356" s="1" t="s">
        <v>215</v>
      </c>
      <c r="F356" s="1">
        <v>23</v>
      </c>
      <c r="G356" s="1">
        <v>45</v>
      </c>
      <c r="H356" s="1">
        <v>47.9</v>
      </c>
    </row>
    <row r="357" spans="1:8" x14ac:dyDescent="0.25">
      <c r="A357" s="2">
        <v>44918</v>
      </c>
      <c r="B357" s="1">
        <v>19</v>
      </c>
      <c r="C357" s="1">
        <v>9</v>
      </c>
      <c r="D357" s="1">
        <v>6.53</v>
      </c>
      <c r="E357" s="1" t="s">
        <v>215</v>
      </c>
      <c r="F357" s="1">
        <v>23</v>
      </c>
      <c r="G357" s="1">
        <v>38</v>
      </c>
      <c r="H357" s="1">
        <v>59.6</v>
      </c>
    </row>
    <row r="358" spans="1:8" x14ac:dyDescent="0.25">
      <c r="A358" s="2">
        <v>44919</v>
      </c>
      <c r="B358" s="1">
        <v>19</v>
      </c>
      <c r="C358" s="1">
        <v>14</v>
      </c>
      <c r="D358" s="1">
        <v>33.270000000000003</v>
      </c>
      <c r="E358" s="1" t="s">
        <v>215</v>
      </c>
      <c r="F358" s="1">
        <v>23</v>
      </c>
      <c r="G358" s="1">
        <v>31</v>
      </c>
      <c r="H358" s="1">
        <v>27.7</v>
      </c>
    </row>
    <row r="359" spans="1:8" x14ac:dyDescent="0.25">
      <c r="A359" s="2">
        <v>44920</v>
      </c>
      <c r="B359" s="1">
        <v>19</v>
      </c>
      <c r="C359" s="1">
        <v>19</v>
      </c>
      <c r="D359" s="1">
        <v>59.32</v>
      </c>
      <c r="E359" s="1" t="s">
        <v>215</v>
      </c>
      <c r="F359" s="1">
        <v>23</v>
      </c>
      <c r="G359" s="1">
        <v>23</v>
      </c>
      <c r="H359" s="1">
        <v>12.6</v>
      </c>
    </row>
    <row r="360" spans="1:8" x14ac:dyDescent="0.25">
      <c r="A360" s="2">
        <v>44921</v>
      </c>
      <c r="B360" s="1">
        <v>19</v>
      </c>
      <c r="C360" s="1">
        <v>25</v>
      </c>
      <c r="D360" s="1">
        <v>24.62</v>
      </c>
      <c r="E360" s="1" t="s">
        <v>215</v>
      </c>
      <c r="F360" s="1">
        <v>23</v>
      </c>
      <c r="G360" s="1">
        <v>14</v>
      </c>
      <c r="H360" s="1">
        <v>14.5</v>
      </c>
    </row>
    <row r="361" spans="1:8" x14ac:dyDescent="0.25">
      <c r="A361" s="2">
        <v>44922</v>
      </c>
      <c r="B361" s="1">
        <v>19</v>
      </c>
      <c r="C361" s="1">
        <v>30</v>
      </c>
      <c r="D361" s="1">
        <v>49.11</v>
      </c>
      <c r="E361" s="1" t="s">
        <v>215</v>
      </c>
      <c r="F361" s="1">
        <v>23</v>
      </c>
      <c r="G361" s="1">
        <v>4</v>
      </c>
      <c r="H361" s="1">
        <v>33.9</v>
      </c>
    </row>
    <row r="362" spans="1:8" x14ac:dyDescent="0.25">
      <c r="A362" s="2">
        <v>44923</v>
      </c>
      <c r="B362" s="1">
        <v>19</v>
      </c>
      <c r="C362" s="1">
        <v>36</v>
      </c>
      <c r="D362" s="1">
        <v>12.74</v>
      </c>
      <c r="E362" s="1" t="s">
        <v>215</v>
      </c>
      <c r="F362" s="1">
        <v>22</v>
      </c>
      <c r="G362" s="1">
        <v>54</v>
      </c>
      <c r="H362" s="1">
        <v>11.2</v>
      </c>
    </row>
    <row r="363" spans="1:8" x14ac:dyDescent="0.25">
      <c r="A363" s="2">
        <v>44924</v>
      </c>
      <c r="B363" s="1">
        <v>19</v>
      </c>
      <c r="C363" s="1">
        <v>41</v>
      </c>
      <c r="D363" s="1">
        <v>35.46</v>
      </c>
      <c r="E363" s="1" t="s">
        <v>215</v>
      </c>
      <c r="F363" s="1">
        <v>22</v>
      </c>
      <c r="G363" s="1">
        <v>43</v>
      </c>
      <c r="H363" s="1">
        <v>6.8</v>
      </c>
    </row>
    <row r="364" spans="1:8" x14ac:dyDescent="0.25">
      <c r="A364" s="2">
        <v>44925</v>
      </c>
      <c r="B364" s="1">
        <v>19</v>
      </c>
      <c r="C364" s="1">
        <v>46</v>
      </c>
      <c r="D364" s="1">
        <v>57.21</v>
      </c>
      <c r="E364" s="1" t="s">
        <v>215</v>
      </c>
      <c r="F364" s="1">
        <v>22</v>
      </c>
      <c r="G364" s="1">
        <v>31</v>
      </c>
      <c r="H364" s="1">
        <v>21.2</v>
      </c>
    </row>
    <row r="365" spans="1:8" x14ac:dyDescent="0.25">
      <c r="A365" s="2">
        <v>44926</v>
      </c>
      <c r="B365" s="1">
        <v>19</v>
      </c>
      <c r="C365" s="1">
        <v>52</v>
      </c>
      <c r="D365" s="1">
        <v>17.95</v>
      </c>
      <c r="E365" s="1" t="s">
        <v>215</v>
      </c>
      <c r="F365" s="1">
        <v>22</v>
      </c>
      <c r="G365" s="1">
        <v>18</v>
      </c>
      <c r="H365" s="1">
        <v>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4129A-AD48-4B0A-AD51-254A2ED68F91}">
  <dimension ref="A1:Q367"/>
  <sheetViews>
    <sheetView tabSelected="1" workbookViewId="0">
      <selection activeCell="D62" sqref="D62"/>
    </sheetView>
  </sheetViews>
  <sheetFormatPr defaultRowHeight="15" x14ac:dyDescent="0.25"/>
  <cols>
    <col min="1" max="1" width="10.140625" style="4" bestFit="1" customWidth="1"/>
    <col min="2" max="2" width="10.28515625" style="4" bestFit="1" customWidth="1"/>
    <col min="3" max="16384" width="9.140625" style="4"/>
  </cols>
  <sheetData>
    <row r="1" spans="1:17" x14ac:dyDescent="0.25">
      <c r="A1" s="6"/>
      <c r="B1" s="7" t="s">
        <v>216</v>
      </c>
      <c r="C1" s="7"/>
      <c r="D1" s="7"/>
      <c r="E1" s="7"/>
      <c r="F1" s="7"/>
      <c r="G1" s="7"/>
      <c r="H1" s="7"/>
      <c r="I1" s="7"/>
      <c r="J1" s="7" t="s">
        <v>217</v>
      </c>
      <c r="K1" s="7"/>
      <c r="L1" s="7"/>
      <c r="M1" s="7"/>
      <c r="N1" s="7"/>
      <c r="O1" s="7"/>
      <c r="P1" s="7"/>
      <c r="Q1" s="8"/>
    </row>
    <row r="2" spans="1:17" x14ac:dyDescent="0.25">
      <c r="A2" s="9" t="s">
        <v>218</v>
      </c>
      <c r="B2" s="10" t="s">
        <v>219</v>
      </c>
      <c r="C2" s="10" t="s">
        <v>220</v>
      </c>
      <c r="D2" s="10" t="s">
        <v>221</v>
      </c>
      <c r="E2" s="10" t="s">
        <v>222</v>
      </c>
      <c r="F2" s="10" t="s">
        <v>223</v>
      </c>
      <c r="G2" s="10" t="s">
        <v>226</v>
      </c>
      <c r="H2" s="10" t="s">
        <v>224</v>
      </c>
      <c r="I2" s="10" t="s">
        <v>225</v>
      </c>
      <c r="J2" s="10" t="s">
        <v>219</v>
      </c>
      <c r="K2" s="10" t="s">
        <v>220</v>
      </c>
      <c r="L2" s="10" t="s">
        <v>221</v>
      </c>
      <c r="M2" s="10" t="s">
        <v>222</v>
      </c>
      <c r="N2" s="10" t="s">
        <v>223</v>
      </c>
      <c r="O2" s="10" t="s">
        <v>226</v>
      </c>
      <c r="P2" s="10" t="s">
        <v>224</v>
      </c>
      <c r="Q2" s="11" t="s">
        <v>225</v>
      </c>
    </row>
    <row r="3" spans="1:17" x14ac:dyDescent="0.25">
      <c r="A3" s="3">
        <v>44562</v>
      </c>
      <c r="B3" s="12">
        <f>_xlfn.XLOOKUP(Pályák!A3,Mars!A:A,Mars!B:B)</f>
        <v>16</v>
      </c>
      <c r="C3" s="12">
        <f>_xlfn.XLOOKUP(Pályák!A3,Mars!A:A,Mars!C:C)</f>
        <v>45</v>
      </c>
      <c r="D3" s="12">
        <f>_xlfn.XLOOKUP(Pályák!A3,Mars!A:A,Mars!D:D)</f>
        <v>21.41</v>
      </c>
      <c r="E3" s="12" t="str">
        <f>_xlfn.XLOOKUP(Pályák!A3,Mars!A:A,Mars!E:E)&amp;""&amp;_xlfn.XLOOKUP(Pályák!A3,Mars!A:A,Mars!F:F)</f>
        <v>-22</v>
      </c>
      <c r="F3" s="12" t="str">
        <f>_xlfn.XLOOKUP(Pályák!A3,Mars!A:A,Mars!E:E)&amp;""&amp;_xlfn.XLOOKUP(Pályák!A3,Mars!A:A,Mars!G:G)</f>
        <v>-27</v>
      </c>
      <c r="G3" s="12" t="str">
        <f>_xlfn.XLOOKUP(Pályák!A3,Mars!A:A,Mars!E:E)&amp;""&amp;_xlfn.XLOOKUP(Pályák!A3,Mars!A:A,Mars!H:H)</f>
        <v>-40,3</v>
      </c>
      <c r="H3" s="12"/>
      <c r="I3" s="12"/>
      <c r="J3" s="12"/>
      <c r="K3" s="12"/>
      <c r="L3" s="12"/>
      <c r="M3" s="12"/>
      <c r="N3" s="12"/>
      <c r="O3" s="12"/>
      <c r="P3" s="12"/>
      <c r="Q3" s="13"/>
    </row>
    <row r="4" spans="1:17" x14ac:dyDescent="0.25">
      <c r="A4" s="3">
        <v>44563</v>
      </c>
      <c r="B4" s="12">
        <f>_xlfn.XLOOKUP(Pályák!A4,Mars!A:A,Mars!B:B)</f>
        <v>16</v>
      </c>
      <c r="C4" s="12">
        <f>_xlfn.XLOOKUP(Pályák!A4,Mars!A:A,Mars!C:C)</f>
        <v>48</v>
      </c>
      <c r="D4" s="12">
        <f>_xlfn.XLOOKUP(Pályák!A4,Mars!A:A,Mars!D:D)</f>
        <v>24.36</v>
      </c>
      <c r="E4" s="12" t="str">
        <f>_xlfn.XLOOKUP(Pályák!A4,Mars!A:A,Mars!E:E)&amp;""&amp;_xlfn.XLOOKUP(Pályák!A4,Mars!A:A,Mars!F:F)</f>
        <v>-22</v>
      </c>
      <c r="F4" s="12" t="str">
        <f>_xlfn.XLOOKUP(Pályák!A4,Mars!A:A,Mars!E:E)&amp;""&amp;_xlfn.XLOOKUP(Pályák!A4,Mars!A:A,Mars!G:G)</f>
        <v>-33</v>
      </c>
      <c r="G4" s="12" t="str">
        <f>_xlfn.XLOOKUP(Pályák!A4,Mars!A:A,Mars!E:E)&amp;""&amp;_xlfn.XLOOKUP(Pályák!A4,Mars!A:A,Mars!H:H)</f>
        <v>-39</v>
      </c>
      <c r="H4" s="12"/>
      <c r="I4" s="12"/>
      <c r="J4" s="12"/>
      <c r="K4" s="12"/>
      <c r="L4" s="12"/>
      <c r="M4" s="12"/>
      <c r="N4" s="12"/>
      <c r="O4" s="12"/>
      <c r="P4" s="12"/>
      <c r="Q4" s="13"/>
    </row>
    <row r="5" spans="1:17" x14ac:dyDescent="0.25">
      <c r="A5" s="3">
        <v>44564</v>
      </c>
      <c r="B5" s="12">
        <f>_xlfn.XLOOKUP(Pályák!A5,Mars!A:A,Mars!B:B)</f>
        <v>16</v>
      </c>
      <c r="C5" s="12">
        <f>_xlfn.XLOOKUP(Pályák!A5,Mars!A:A,Mars!C:C)</f>
        <v>51</v>
      </c>
      <c r="D5" s="12">
        <f>_xlfn.XLOOKUP(Pályák!A5,Mars!A:A,Mars!D:D)</f>
        <v>27.72</v>
      </c>
      <c r="E5" s="12" t="str">
        <f>_xlfn.XLOOKUP(Pályák!A5,Mars!A:A,Mars!E:E)&amp;""&amp;_xlfn.XLOOKUP(Pályák!A5,Mars!A:A,Mars!F:F)</f>
        <v>-22</v>
      </c>
      <c r="F5" s="12" t="str">
        <f>_xlfn.XLOOKUP(Pályák!A5,Mars!A:A,Mars!E:E)&amp;""&amp;_xlfn.XLOOKUP(Pályák!A5,Mars!A:A,Mars!G:G)</f>
        <v>-39</v>
      </c>
      <c r="G5" s="12" t="str">
        <f>_xlfn.XLOOKUP(Pályák!A5,Mars!A:A,Mars!E:E)&amp;""&amp;_xlfn.XLOOKUP(Pályák!A5,Mars!A:A,Mars!H:H)</f>
        <v>-25,3</v>
      </c>
      <c r="H5" s="12"/>
      <c r="I5" s="12"/>
      <c r="J5" s="12"/>
      <c r="K5" s="12"/>
      <c r="L5" s="12"/>
      <c r="M5" s="12"/>
      <c r="N5" s="12"/>
      <c r="O5" s="12"/>
      <c r="P5" s="12"/>
      <c r="Q5" s="13"/>
    </row>
    <row r="6" spans="1:17" x14ac:dyDescent="0.25">
      <c r="A6" s="3">
        <v>44565</v>
      </c>
      <c r="B6" s="12">
        <f>_xlfn.XLOOKUP(Pályák!A6,Mars!A:A,Mars!B:B)</f>
        <v>16</v>
      </c>
      <c r="C6" s="12">
        <f>_xlfn.XLOOKUP(Pályák!A6,Mars!A:A,Mars!C:C)</f>
        <v>54</v>
      </c>
      <c r="D6" s="12">
        <f>_xlfn.XLOOKUP(Pályák!A6,Mars!A:A,Mars!D:D)</f>
        <v>31.5</v>
      </c>
      <c r="E6" s="12" t="str">
        <f>_xlfn.XLOOKUP(Pályák!A6,Mars!A:A,Mars!E:E)&amp;""&amp;_xlfn.XLOOKUP(Pályák!A6,Mars!A:A,Mars!F:F)</f>
        <v>-22</v>
      </c>
      <c r="F6" s="12" t="str">
        <f>_xlfn.XLOOKUP(Pályák!A6,Mars!A:A,Mars!E:E)&amp;""&amp;_xlfn.XLOOKUP(Pályák!A6,Mars!A:A,Mars!G:G)</f>
        <v>-44</v>
      </c>
      <c r="G6" s="12" t="str">
        <f>_xlfn.XLOOKUP(Pályák!A6,Mars!A:A,Mars!E:E)&amp;""&amp;_xlfn.XLOOKUP(Pályák!A6,Mars!A:A,Mars!H:H)</f>
        <v>-59</v>
      </c>
      <c r="H6" s="12"/>
      <c r="I6" s="12"/>
      <c r="J6" s="12"/>
      <c r="K6" s="12"/>
      <c r="L6" s="12"/>
      <c r="M6" s="12"/>
      <c r="N6" s="12"/>
      <c r="O6" s="12"/>
      <c r="P6" s="12"/>
      <c r="Q6" s="13"/>
    </row>
    <row r="7" spans="1:17" x14ac:dyDescent="0.25">
      <c r="A7" s="3">
        <v>44566</v>
      </c>
      <c r="B7" s="12">
        <f>_xlfn.XLOOKUP(Pályák!A7,Mars!A:A,Mars!B:B)</f>
        <v>16</v>
      </c>
      <c r="C7" s="12">
        <f>_xlfn.XLOOKUP(Pályák!A7,Mars!A:A,Mars!C:C)</f>
        <v>57</v>
      </c>
      <c r="D7" s="12">
        <f>_xlfn.XLOOKUP(Pályák!A7,Mars!A:A,Mars!D:D)</f>
        <v>35.68</v>
      </c>
      <c r="E7" s="12" t="str">
        <f>_xlfn.XLOOKUP(Pályák!A7,Mars!A:A,Mars!E:E)&amp;""&amp;_xlfn.XLOOKUP(Pályák!A7,Mars!A:A,Mars!F:F)</f>
        <v>-22</v>
      </c>
      <c r="F7" s="12" t="str">
        <f>_xlfn.XLOOKUP(Pályák!A7,Mars!A:A,Mars!E:E)&amp;""&amp;_xlfn.XLOOKUP(Pályák!A7,Mars!A:A,Mars!G:G)</f>
        <v>-50</v>
      </c>
      <c r="G7" s="12" t="str">
        <f>_xlfn.XLOOKUP(Pályák!A7,Mars!A:A,Mars!E:E)&amp;""&amp;_xlfn.XLOOKUP(Pályák!A7,Mars!A:A,Mars!H:H)</f>
        <v>-20</v>
      </c>
      <c r="H7" s="12"/>
      <c r="I7" s="12"/>
      <c r="J7" s="12"/>
      <c r="K7" s="12"/>
      <c r="L7" s="12"/>
      <c r="M7" s="12"/>
      <c r="N7" s="12"/>
      <c r="O7" s="12"/>
      <c r="P7" s="12"/>
      <c r="Q7" s="13"/>
    </row>
    <row r="8" spans="1:17" x14ac:dyDescent="0.25">
      <c r="A8" s="3">
        <v>44567</v>
      </c>
      <c r="B8" s="12">
        <f>_xlfn.XLOOKUP(Pályák!A8,Mars!A:A,Mars!B:B)</f>
        <v>17</v>
      </c>
      <c r="C8" s="12">
        <f>_xlfn.XLOOKUP(Pályák!A8,Mars!A:A,Mars!C:C)</f>
        <v>0</v>
      </c>
      <c r="D8" s="12">
        <f>_xlfn.XLOOKUP(Pályák!A8,Mars!A:A,Mars!D:D)</f>
        <v>40.25</v>
      </c>
      <c r="E8" s="12" t="str">
        <f>_xlfn.XLOOKUP(Pályák!A8,Mars!A:A,Mars!E:E)&amp;""&amp;_xlfn.XLOOKUP(Pályák!A8,Mars!A:A,Mars!F:F)</f>
        <v>-22</v>
      </c>
      <c r="F8" s="12" t="str">
        <f>_xlfn.XLOOKUP(Pályák!A8,Mars!A:A,Mars!E:E)&amp;""&amp;_xlfn.XLOOKUP(Pályák!A8,Mars!A:A,Mars!G:G)</f>
        <v>-55</v>
      </c>
      <c r="G8" s="12" t="str">
        <f>_xlfn.XLOOKUP(Pályák!A8,Mars!A:A,Mars!E:E)&amp;""&amp;_xlfn.XLOOKUP(Pályák!A8,Mars!A:A,Mars!H:H)</f>
        <v>-28,2</v>
      </c>
      <c r="H8" s="12"/>
      <c r="I8" s="12"/>
      <c r="J8" s="12"/>
      <c r="K8" s="12"/>
      <c r="L8" s="12"/>
      <c r="M8" s="12"/>
      <c r="N8" s="12"/>
      <c r="O8" s="12"/>
      <c r="P8" s="12"/>
      <c r="Q8" s="13"/>
    </row>
    <row r="9" spans="1:17" x14ac:dyDescent="0.25">
      <c r="A9" s="3">
        <v>44568</v>
      </c>
      <c r="B9" s="12">
        <f>_xlfn.XLOOKUP(Pályák!A9,Mars!A:A,Mars!B:B)</f>
        <v>17</v>
      </c>
      <c r="C9" s="12">
        <f>_xlfn.XLOOKUP(Pályák!A9,Mars!A:A,Mars!C:C)</f>
        <v>3</v>
      </c>
      <c r="D9" s="12">
        <f>_xlfn.XLOOKUP(Pályák!A9,Mars!A:A,Mars!D:D)</f>
        <v>45.2</v>
      </c>
      <c r="E9" s="12" t="str">
        <f>_xlfn.XLOOKUP(Pályák!A9,Mars!A:A,Mars!E:E)&amp;""&amp;_xlfn.XLOOKUP(Pályák!A9,Mars!A:A,Mars!F:F)</f>
        <v>-23</v>
      </c>
      <c r="F9" s="12" t="str">
        <f>_xlfn.XLOOKUP(Pályák!A9,Mars!A:A,Mars!E:E)&amp;""&amp;_xlfn.XLOOKUP(Pályák!A9,Mars!A:A,Mars!G:G)</f>
        <v>-0</v>
      </c>
      <c r="G9" s="12" t="str">
        <f>_xlfn.XLOOKUP(Pályák!A9,Mars!A:A,Mars!E:E)&amp;""&amp;_xlfn.XLOOKUP(Pályák!A9,Mars!A:A,Mars!H:H)</f>
        <v>-23,5</v>
      </c>
      <c r="H9" s="12"/>
      <c r="I9" s="12"/>
      <c r="J9" s="12"/>
      <c r="K9" s="12"/>
      <c r="L9" s="12"/>
      <c r="M9" s="12"/>
      <c r="N9" s="12"/>
      <c r="O9" s="12"/>
      <c r="P9" s="12"/>
      <c r="Q9" s="13"/>
    </row>
    <row r="10" spans="1:17" x14ac:dyDescent="0.25">
      <c r="A10" s="3">
        <v>44569</v>
      </c>
      <c r="B10" s="12">
        <f>_xlfn.XLOOKUP(Pályák!A10,Mars!A:A,Mars!B:B)</f>
        <v>17</v>
      </c>
      <c r="C10" s="12">
        <f>_xlfn.XLOOKUP(Pályák!A10,Mars!A:A,Mars!C:C)</f>
        <v>6</v>
      </c>
      <c r="D10" s="12">
        <f>_xlfn.XLOOKUP(Pályák!A10,Mars!A:A,Mars!D:D)</f>
        <v>50.52</v>
      </c>
      <c r="E10" s="12" t="str">
        <f>_xlfn.XLOOKUP(Pályák!A10,Mars!A:A,Mars!E:E)&amp;""&amp;_xlfn.XLOOKUP(Pályák!A10,Mars!A:A,Mars!F:F)</f>
        <v>-23</v>
      </c>
      <c r="F10" s="12" t="str">
        <f>_xlfn.XLOOKUP(Pályák!A10,Mars!A:A,Mars!E:E)&amp;""&amp;_xlfn.XLOOKUP(Pályák!A10,Mars!A:A,Mars!G:G)</f>
        <v>-5</v>
      </c>
      <c r="G10" s="12" t="str">
        <f>_xlfn.XLOOKUP(Pályák!A10,Mars!A:A,Mars!E:E)&amp;""&amp;_xlfn.XLOOKUP(Pályák!A10,Mars!A:A,Mars!H:H)</f>
        <v>-5,7</v>
      </c>
      <c r="H10" s="12"/>
      <c r="I10" s="12"/>
      <c r="J10" s="12"/>
      <c r="K10" s="12"/>
      <c r="L10" s="12"/>
      <c r="M10" s="12"/>
      <c r="N10" s="12"/>
      <c r="O10" s="12"/>
      <c r="P10" s="12"/>
      <c r="Q10" s="13"/>
    </row>
    <row r="11" spans="1:17" x14ac:dyDescent="0.25">
      <c r="A11" s="3">
        <v>44570</v>
      </c>
      <c r="B11" s="12">
        <f>_xlfn.XLOOKUP(Pályák!A11,Mars!A:A,Mars!B:B)</f>
        <v>17</v>
      </c>
      <c r="C11" s="12">
        <f>_xlfn.XLOOKUP(Pályák!A11,Mars!A:A,Mars!C:C)</f>
        <v>9</v>
      </c>
      <c r="D11" s="12">
        <f>_xlfn.XLOOKUP(Pályák!A11,Mars!A:A,Mars!D:D)</f>
        <v>56.2</v>
      </c>
      <c r="E11" s="12" t="str">
        <f>_xlfn.XLOOKUP(Pályák!A11,Mars!A:A,Mars!E:E)&amp;""&amp;_xlfn.XLOOKUP(Pályák!A11,Mars!A:A,Mars!F:F)</f>
        <v>-23</v>
      </c>
      <c r="F11" s="12" t="str">
        <f>_xlfn.XLOOKUP(Pályák!A11,Mars!A:A,Mars!E:E)&amp;""&amp;_xlfn.XLOOKUP(Pályák!A11,Mars!A:A,Mars!G:G)</f>
        <v>-9</v>
      </c>
      <c r="G11" s="12" t="str">
        <f>_xlfn.XLOOKUP(Pályák!A11,Mars!A:A,Mars!E:E)&amp;""&amp;_xlfn.XLOOKUP(Pályák!A11,Mars!A:A,Mars!H:H)</f>
        <v>-34,9</v>
      </c>
      <c r="H11" s="12"/>
      <c r="I11" s="12"/>
      <c r="J11" s="12"/>
      <c r="K11" s="12"/>
      <c r="L11" s="12"/>
      <c r="M11" s="12"/>
      <c r="N11" s="12"/>
      <c r="O11" s="12"/>
      <c r="P11" s="12"/>
      <c r="Q11" s="13"/>
    </row>
    <row r="12" spans="1:17" x14ac:dyDescent="0.25">
      <c r="A12" s="3">
        <v>44571</v>
      </c>
      <c r="B12" s="12">
        <f>_xlfn.XLOOKUP(Pályák!A12,Mars!A:A,Mars!B:B)</f>
        <v>17</v>
      </c>
      <c r="C12" s="12">
        <f>_xlfn.XLOOKUP(Pályák!A12,Mars!A:A,Mars!C:C)</f>
        <v>13</v>
      </c>
      <c r="D12" s="12">
        <f>_xlfn.XLOOKUP(Pályák!A12,Mars!A:A,Mars!D:D)</f>
        <v>2.25</v>
      </c>
      <c r="E12" s="12" t="str">
        <f>_xlfn.XLOOKUP(Pályák!A12,Mars!A:A,Mars!E:E)&amp;""&amp;_xlfn.XLOOKUP(Pályák!A12,Mars!A:A,Mars!F:F)</f>
        <v>-23</v>
      </c>
      <c r="F12" s="12" t="str">
        <f>_xlfn.XLOOKUP(Pályák!A12,Mars!A:A,Mars!E:E)&amp;""&amp;_xlfn.XLOOKUP(Pályák!A12,Mars!A:A,Mars!G:G)</f>
        <v>-13</v>
      </c>
      <c r="G12" s="12" t="str">
        <f>_xlfn.XLOOKUP(Pályák!A12,Mars!A:A,Mars!E:E)&amp;""&amp;_xlfn.XLOOKUP(Pályák!A12,Mars!A:A,Mars!H:H)</f>
        <v>-50,9</v>
      </c>
      <c r="H12" s="12"/>
      <c r="I12" s="12"/>
      <c r="J12" s="12"/>
      <c r="K12" s="12"/>
      <c r="L12" s="12"/>
      <c r="M12" s="12"/>
      <c r="N12" s="12"/>
      <c r="O12" s="12"/>
      <c r="P12" s="12"/>
      <c r="Q12" s="13"/>
    </row>
    <row r="13" spans="1:17" x14ac:dyDescent="0.25">
      <c r="A13" s="3">
        <v>44572</v>
      </c>
      <c r="B13" s="12">
        <f>_xlfn.XLOOKUP(Pályák!A13,Mars!A:A,Mars!B:B)</f>
        <v>17</v>
      </c>
      <c r="C13" s="12">
        <f>_xlfn.XLOOKUP(Pályák!A13,Mars!A:A,Mars!C:C)</f>
        <v>16</v>
      </c>
      <c r="D13" s="12">
        <f>_xlfn.XLOOKUP(Pályák!A13,Mars!A:A,Mars!D:D)</f>
        <v>8.6300000000000008</v>
      </c>
      <c r="E13" s="12" t="str">
        <f>_xlfn.XLOOKUP(Pályák!A13,Mars!A:A,Mars!E:E)&amp;""&amp;_xlfn.XLOOKUP(Pályák!A13,Mars!A:A,Mars!F:F)</f>
        <v>-23</v>
      </c>
      <c r="F13" s="12" t="str">
        <f>_xlfn.XLOOKUP(Pályák!A13,Mars!A:A,Mars!E:E)&amp;""&amp;_xlfn.XLOOKUP(Pályák!A13,Mars!A:A,Mars!G:G)</f>
        <v>-17</v>
      </c>
      <c r="G13" s="12" t="str">
        <f>_xlfn.XLOOKUP(Pályák!A13,Mars!A:A,Mars!E:E)&amp;""&amp;_xlfn.XLOOKUP(Pályák!A13,Mars!A:A,Mars!H:H)</f>
        <v>-53,5</v>
      </c>
      <c r="H13" s="12"/>
      <c r="I13" s="12"/>
      <c r="J13" s="12"/>
      <c r="K13" s="12"/>
      <c r="L13" s="12"/>
      <c r="M13" s="12"/>
      <c r="N13" s="12"/>
      <c r="O13" s="12"/>
      <c r="P13" s="12"/>
      <c r="Q13" s="13"/>
    </row>
    <row r="14" spans="1:17" x14ac:dyDescent="0.25">
      <c r="A14" s="3">
        <v>44573</v>
      </c>
      <c r="B14" s="12">
        <f>_xlfn.XLOOKUP(Pályák!A14,Mars!A:A,Mars!B:B)</f>
        <v>17</v>
      </c>
      <c r="C14" s="12">
        <f>_xlfn.XLOOKUP(Pályák!A14,Mars!A:A,Mars!C:C)</f>
        <v>19</v>
      </c>
      <c r="D14" s="12">
        <f>_xlfn.XLOOKUP(Pályák!A14,Mars!A:A,Mars!D:D)</f>
        <v>15.36</v>
      </c>
      <c r="E14" s="12" t="str">
        <f>_xlfn.XLOOKUP(Pályák!A14,Mars!A:A,Mars!E:E)&amp;""&amp;_xlfn.XLOOKUP(Pályák!A14,Mars!A:A,Mars!F:F)</f>
        <v>-23</v>
      </c>
      <c r="F14" s="12" t="str">
        <f>_xlfn.XLOOKUP(Pályák!A14,Mars!A:A,Mars!E:E)&amp;""&amp;_xlfn.XLOOKUP(Pályák!A14,Mars!A:A,Mars!G:G)</f>
        <v>-21</v>
      </c>
      <c r="G14" s="12" t="str">
        <f>_xlfn.XLOOKUP(Pályák!A14,Mars!A:A,Mars!E:E)&amp;""&amp;_xlfn.XLOOKUP(Pályák!A14,Mars!A:A,Mars!H:H)</f>
        <v>-42,9</v>
      </c>
      <c r="H14" s="12"/>
      <c r="I14" s="12"/>
      <c r="J14" s="12"/>
      <c r="K14" s="12"/>
      <c r="L14" s="12"/>
      <c r="M14" s="12"/>
      <c r="N14" s="12"/>
      <c r="O14" s="12"/>
      <c r="P14" s="12"/>
      <c r="Q14" s="13"/>
    </row>
    <row r="15" spans="1:17" x14ac:dyDescent="0.25">
      <c r="A15" s="3">
        <v>44574</v>
      </c>
      <c r="B15" s="12">
        <f>_xlfn.XLOOKUP(Pályák!A15,Mars!A:A,Mars!B:B)</f>
        <v>17</v>
      </c>
      <c r="C15" s="12">
        <f>_xlfn.XLOOKUP(Pályák!A15,Mars!A:A,Mars!C:C)</f>
        <v>22</v>
      </c>
      <c r="D15" s="12">
        <f>_xlfn.XLOOKUP(Pályák!A15,Mars!A:A,Mars!D:D)</f>
        <v>22.42</v>
      </c>
      <c r="E15" s="12" t="str">
        <f>_xlfn.XLOOKUP(Pályák!A15,Mars!A:A,Mars!E:E)&amp;""&amp;_xlfn.XLOOKUP(Pályák!A15,Mars!A:A,Mars!F:F)</f>
        <v>-23</v>
      </c>
      <c r="F15" s="12" t="str">
        <f>_xlfn.XLOOKUP(Pályák!A15,Mars!A:A,Mars!E:E)&amp;""&amp;_xlfn.XLOOKUP(Pályák!A15,Mars!A:A,Mars!G:G)</f>
        <v>-25</v>
      </c>
      <c r="G15" s="12" t="str">
        <f>_xlfn.XLOOKUP(Pályák!A15,Mars!A:A,Mars!E:E)&amp;""&amp;_xlfn.XLOOKUP(Pályák!A15,Mars!A:A,Mars!H:H)</f>
        <v>-18,8</v>
      </c>
      <c r="H15" s="12"/>
      <c r="I15" s="12"/>
      <c r="J15" s="12"/>
      <c r="K15" s="12"/>
      <c r="L15" s="12"/>
      <c r="M15" s="12"/>
      <c r="N15" s="12"/>
      <c r="O15" s="12"/>
      <c r="P15" s="12"/>
      <c r="Q15" s="13"/>
    </row>
    <row r="16" spans="1:17" x14ac:dyDescent="0.25">
      <c r="A16" s="3">
        <v>44575</v>
      </c>
      <c r="B16" s="12">
        <f>_xlfn.XLOOKUP(Pályák!A16,Mars!A:A,Mars!B:B)</f>
        <v>17</v>
      </c>
      <c r="C16" s="12">
        <f>_xlfn.XLOOKUP(Pályák!A16,Mars!A:A,Mars!C:C)</f>
        <v>25</v>
      </c>
      <c r="D16" s="12">
        <f>_xlfn.XLOOKUP(Pályák!A16,Mars!A:A,Mars!D:D)</f>
        <v>29.79</v>
      </c>
      <c r="E16" s="12" t="str">
        <f>_xlfn.XLOOKUP(Pályák!A16,Mars!A:A,Mars!E:E)&amp;""&amp;_xlfn.XLOOKUP(Pályák!A16,Mars!A:A,Mars!F:F)</f>
        <v>-23</v>
      </c>
      <c r="F16" s="12" t="str">
        <f>_xlfn.XLOOKUP(Pályák!A16,Mars!A:A,Mars!E:E)&amp;""&amp;_xlfn.XLOOKUP(Pályák!A16,Mars!A:A,Mars!G:G)</f>
        <v>-28</v>
      </c>
      <c r="G16" s="12" t="str">
        <f>_xlfn.XLOOKUP(Pályák!A16,Mars!A:A,Mars!E:E)&amp;""&amp;_xlfn.XLOOKUP(Pályák!A16,Mars!A:A,Mars!H:H)</f>
        <v>-41,1</v>
      </c>
      <c r="H16" s="12"/>
      <c r="I16" s="12"/>
      <c r="J16" s="12"/>
      <c r="K16" s="12"/>
      <c r="L16" s="12"/>
      <c r="M16" s="12"/>
      <c r="N16" s="12"/>
      <c r="O16" s="12"/>
      <c r="P16" s="12"/>
      <c r="Q16" s="13"/>
    </row>
    <row r="17" spans="1:17" x14ac:dyDescent="0.25">
      <c r="A17" s="3">
        <v>44576</v>
      </c>
      <c r="B17" s="12">
        <f>_xlfn.XLOOKUP(Pályák!A17,Mars!A:A,Mars!B:B)</f>
        <v>17</v>
      </c>
      <c r="C17" s="12">
        <f>_xlfn.XLOOKUP(Pályák!A17,Mars!A:A,Mars!C:C)</f>
        <v>28</v>
      </c>
      <c r="D17" s="12">
        <f>_xlfn.XLOOKUP(Pályák!A17,Mars!A:A,Mars!D:D)</f>
        <v>37.49</v>
      </c>
      <c r="E17" s="12" t="str">
        <f>_xlfn.XLOOKUP(Pályák!A17,Mars!A:A,Mars!E:E)&amp;""&amp;_xlfn.XLOOKUP(Pályák!A17,Mars!A:A,Mars!F:F)</f>
        <v>-23</v>
      </c>
      <c r="F17" s="12" t="str">
        <f>_xlfn.XLOOKUP(Pályák!A17,Mars!A:A,Mars!E:E)&amp;""&amp;_xlfn.XLOOKUP(Pályák!A17,Mars!A:A,Mars!G:G)</f>
        <v>-31</v>
      </c>
      <c r="G17" s="12" t="str">
        <f>_xlfn.XLOOKUP(Pályák!A17,Mars!A:A,Mars!E:E)&amp;""&amp;_xlfn.XLOOKUP(Pályák!A17,Mars!A:A,Mars!H:H)</f>
        <v>-49,9</v>
      </c>
      <c r="H17" s="12"/>
      <c r="I17" s="12"/>
      <c r="J17" s="12"/>
      <c r="K17" s="12"/>
      <c r="L17" s="12"/>
      <c r="M17" s="12"/>
      <c r="N17" s="12"/>
      <c r="O17" s="12"/>
      <c r="P17" s="12"/>
      <c r="Q17" s="13"/>
    </row>
    <row r="18" spans="1:17" x14ac:dyDescent="0.25">
      <c r="A18" s="3">
        <v>44577</v>
      </c>
      <c r="B18" s="12">
        <f>_xlfn.XLOOKUP(Pályák!A18,Mars!A:A,Mars!B:B)</f>
        <v>17</v>
      </c>
      <c r="C18" s="12">
        <f>_xlfn.XLOOKUP(Pályák!A18,Mars!A:A,Mars!C:C)</f>
        <v>31</v>
      </c>
      <c r="D18" s="12">
        <f>_xlfn.XLOOKUP(Pályák!A18,Mars!A:A,Mars!D:D)</f>
        <v>45.48</v>
      </c>
      <c r="E18" s="12" t="str">
        <f>_xlfn.XLOOKUP(Pályák!A18,Mars!A:A,Mars!E:E)&amp;""&amp;_xlfn.XLOOKUP(Pályák!A18,Mars!A:A,Mars!F:F)</f>
        <v>-23</v>
      </c>
      <c r="F18" s="12" t="str">
        <f>_xlfn.XLOOKUP(Pályák!A18,Mars!A:A,Mars!E:E)&amp;""&amp;_xlfn.XLOOKUP(Pályák!A18,Mars!A:A,Mars!G:G)</f>
        <v>-34</v>
      </c>
      <c r="G18" s="12" t="str">
        <f>_xlfn.XLOOKUP(Pályák!A18,Mars!A:A,Mars!E:E)&amp;""&amp;_xlfn.XLOOKUP(Pályák!A18,Mars!A:A,Mars!H:H)</f>
        <v>-45</v>
      </c>
      <c r="H18" s="12"/>
      <c r="I18" s="12"/>
      <c r="J18" s="12"/>
      <c r="K18" s="12"/>
      <c r="L18" s="12"/>
      <c r="M18" s="12"/>
      <c r="N18" s="12"/>
      <c r="O18" s="12"/>
      <c r="P18" s="12"/>
      <c r="Q18" s="13"/>
    </row>
    <row r="19" spans="1:17" x14ac:dyDescent="0.25">
      <c r="A19" s="3">
        <v>44578</v>
      </c>
      <c r="B19" s="12">
        <f>_xlfn.XLOOKUP(Pályák!A19,Mars!A:A,Mars!B:B)</f>
        <v>17</v>
      </c>
      <c r="C19" s="12">
        <f>_xlfn.XLOOKUP(Pályák!A19,Mars!A:A,Mars!C:C)</f>
        <v>34</v>
      </c>
      <c r="D19" s="12">
        <f>_xlfn.XLOOKUP(Pályák!A19,Mars!A:A,Mars!D:D)</f>
        <v>53.77</v>
      </c>
      <c r="E19" s="12" t="str">
        <f>_xlfn.XLOOKUP(Pályák!A19,Mars!A:A,Mars!E:E)&amp;""&amp;_xlfn.XLOOKUP(Pályák!A19,Mars!A:A,Mars!F:F)</f>
        <v>-23</v>
      </c>
      <c r="F19" s="12" t="str">
        <f>_xlfn.XLOOKUP(Pályák!A19,Mars!A:A,Mars!E:E)&amp;""&amp;_xlfn.XLOOKUP(Pályák!A19,Mars!A:A,Mars!G:G)</f>
        <v>-37</v>
      </c>
      <c r="G19" s="12" t="str">
        <f>_xlfn.XLOOKUP(Pályák!A19,Mars!A:A,Mars!E:E)&amp;""&amp;_xlfn.XLOOKUP(Pályák!A19,Mars!A:A,Mars!H:H)</f>
        <v>-26,3</v>
      </c>
      <c r="H19" s="12"/>
      <c r="I19" s="12"/>
      <c r="J19" s="12"/>
      <c r="K19" s="12"/>
      <c r="L19" s="12"/>
      <c r="M19" s="12"/>
      <c r="N19" s="12"/>
      <c r="O19" s="12"/>
      <c r="P19" s="12"/>
      <c r="Q19" s="13"/>
    </row>
    <row r="20" spans="1:17" x14ac:dyDescent="0.25">
      <c r="A20" s="3">
        <v>44579</v>
      </c>
      <c r="B20" s="12">
        <f>_xlfn.XLOOKUP(Pályák!A20,Mars!A:A,Mars!B:B)</f>
        <v>17</v>
      </c>
      <c r="C20" s="12">
        <f>_xlfn.XLOOKUP(Pályák!A20,Mars!A:A,Mars!C:C)</f>
        <v>38</v>
      </c>
      <c r="D20" s="12">
        <f>_xlfn.XLOOKUP(Pályák!A20,Mars!A:A,Mars!D:D)</f>
        <v>2.35</v>
      </c>
      <c r="E20" s="12" t="str">
        <f>_xlfn.XLOOKUP(Pályák!A20,Mars!A:A,Mars!E:E)&amp;""&amp;_xlfn.XLOOKUP(Pályák!A20,Mars!A:A,Mars!F:F)</f>
        <v>-23</v>
      </c>
      <c r="F20" s="12" t="str">
        <f>_xlfn.XLOOKUP(Pályák!A20,Mars!A:A,Mars!E:E)&amp;""&amp;_xlfn.XLOOKUP(Pályák!A20,Mars!A:A,Mars!G:G)</f>
        <v>-39</v>
      </c>
      <c r="G20" s="12" t="str">
        <f>_xlfn.XLOOKUP(Pályák!A20,Mars!A:A,Mars!E:E)&amp;""&amp;_xlfn.XLOOKUP(Pályák!A20,Mars!A:A,Mars!H:H)</f>
        <v>-53,9</v>
      </c>
      <c r="H20" s="12"/>
      <c r="I20" s="12"/>
      <c r="J20" s="12"/>
      <c r="K20" s="12"/>
      <c r="L20" s="12"/>
      <c r="M20" s="12"/>
      <c r="N20" s="12"/>
      <c r="O20" s="12"/>
      <c r="P20" s="12"/>
      <c r="Q20" s="13"/>
    </row>
    <row r="21" spans="1:17" x14ac:dyDescent="0.25">
      <c r="A21" s="3">
        <v>44580</v>
      </c>
      <c r="B21" s="12">
        <f>_xlfn.XLOOKUP(Pályák!A21,Mars!A:A,Mars!B:B)</f>
        <v>17</v>
      </c>
      <c r="C21" s="12">
        <f>_xlfn.XLOOKUP(Pályák!A21,Mars!A:A,Mars!C:C)</f>
        <v>41</v>
      </c>
      <c r="D21" s="12">
        <f>_xlfn.XLOOKUP(Pályák!A21,Mars!A:A,Mars!D:D)</f>
        <v>11.2</v>
      </c>
      <c r="E21" s="12" t="str">
        <f>_xlfn.XLOOKUP(Pályák!A21,Mars!A:A,Mars!E:E)&amp;""&amp;_xlfn.XLOOKUP(Pályák!A21,Mars!A:A,Mars!F:F)</f>
        <v>-23</v>
      </c>
      <c r="F21" s="12" t="str">
        <f>_xlfn.XLOOKUP(Pályák!A21,Mars!A:A,Mars!E:E)&amp;""&amp;_xlfn.XLOOKUP(Pályák!A21,Mars!A:A,Mars!G:G)</f>
        <v>-42</v>
      </c>
      <c r="G21" s="12" t="str">
        <f>_xlfn.XLOOKUP(Pályák!A21,Mars!A:A,Mars!E:E)&amp;""&amp;_xlfn.XLOOKUP(Pályák!A21,Mars!A:A,Mars!H:H)</f>
        <v>-7,5</v>
      </c>
      <c r="H21" s="12"/>
      <c r="I21" s="12"/>
      <c r="J21" s="12"/>
      <c r="K21" s="12"/>
      <c r="L21" s="12"/>
      <c r="M21" s="12"/>
      <c r="N21" s="12"/>
      <c r="O21" s="12"/>
      <c r="P21" s="12"/>
      <c r="Q21" s="13"/>
    </row>
    <row r="22" spans="1:17" x14ac:dyDescent="0.25">
      <c r="A22" s="3">
        <v>44581</v>
      </c>
      <c r="B22" s="12">
        <f>_xlfn.XLOOKUP(Pályák!A22,Mars!A:A,Mars!B:B)</f>
        <v>17</v>
      </c>
      <c r="C22" s="12">
        <f>_xlfn.XLOOKUP(Pályák!A22,Mars!A:A,Mars!C:C)</f>
        <v>44</v>
      </c>
      <c r="D22" s="12">
        <f>_xlfn.XLOOKUP(Pályák!A22,Mars!A:A,Mars!D:D)</f>
        <v>20.32</v>
      </c>
      <c r="E22" s="12" t="str">
        <f>_xlfn.XLOOKUP(Pályák!A22,Mars!A:A,Mars!E:E)&amp;""&amp;_xlfn.XLOOKUP(Pályák!A22,Mars!A:A,Mars!F:F)</f>
        <v>-23</v>
      </c>
      <c r="F22" s="12" t="str">
        <f>_xlfn.XLOOKUP(Pályák!A22,Mars!A:A,Mars!E:E)&amp;""&amp;_xlfn.XLOOKUP(Pályák!A22,Mars!A:A,Mars!G:G)</f>
        <v>-44</v>
      </c>
      <c r="G22" s="12" t="str">
        <f>_xlfn.XLOOKUP(Pályák!A22,Mars!A:A,Mars!E:E)&amp;""&amp;_xlfn.XLOOKUP(Pályák!A22,Mars!A:A,Mars!H:H)</f>
        <v>-7,3</v>
      </c>
      <c r="H22" s="12"/>
      <c r="I22" s="12"/>
      <c r="J22" s="12"/>
      <c r="K22" s="12"/>
      <c r="L22" s="12"/>
      <c r="M22" s="12"/>
      <c r="N22" s="12"/>
      <c r="O22" s="12"/>
      <c r="P22" s="12"/>
      <c r="Q22" s="13"/>
    </row>
    <row r="23" spans="1:17" x14ac:dyDescent="0.25">
      <c r="A23" s="3">
        <v>44582</v>
      </c>
      <c r="B23" s="12">
        <f>_xlfn.XLOOKUP(Pályák!A23,Mars!A:A,Mars!B:B)</f>
        <v>17</v>
      </c>
      <c r="C23" s="12">
        <f>_xlfn.XLOOKUP(Pályák!A23,Mars!A:A,Mars!C:C)</f>
        <v>47</v>
      </c>
      <c r="D23" s="12">
        <f>_xlfn.XLOOKUP(Pályák!A23,Mars!A:A,Mars!D:D)</f>
        <v>29.69</v>
      </c>
      <c r="E23" s="12" t="str">
        <f>_xlfn.XLOOKUP(Pályák!A23,Mars!A:A,Mars!E:E)&amp;""&amp;_xlfn.XLOOKUP(Pályák!A23,Mars!A:A,Mars!F:F)</f>
        <v>-23</v>
      </c>
      <c r="F23" s="12" t="str">
        <f>_xlfn.XLOOKUP(Pályák!A23,Mars!A:A,Mars!E:E)&amp;""&amp;_xlfn.XLOOKUP(Pályák!A23,Mars!A:A,Mars!G:G)</f>
        <v>-45</v>
      </c>
      <c r="G23" s="12" t="str">
        <f>_xlfn.XLOOKUP(Pályák!A23,Mars!A:A,Mars!E:E)&amp;""&amp;_xlfn.XLOOKUP(Pályák!A23,Mars!A:A,Mars!H:H)</f>
        <v>-53</v>
      </c>
      <c r="H23" s="12"/>
      <c r="I23" s="12"/>
      <c r="J23" s="12"/>
      <c r="K23" s="12"/>
      <c r="L23" s="12"/>
      <c r="M23" s="12"/>
      <c r="N23" s="12"/>
      <c r="O23" s="12"/>
      <c r="P23" s="12"/>
      <c r="Q23" s="13"/>
    </row>
    <row r="24" spans="1:17" x14ac:dyDescent="0.25">
      <c r="A24" s="3">
        <v>44583</v>
      </c>
      <c r="B24" s="12">
        <f>_xlfn.XLOOKUP(Pályák!A24,Mars!A:A,Mars!B:B)</f>
        <v>17</v>
      </c>
      <c r="C24" s="12">
        <f>_xlfn.XLOOKUP(Pályák!A24,Mars!A:A,Mars!C:C)</f>
        <v>50</v>
      </c>
      <c r="D24" s="12">
        <f>_xlfn.XLOOKUP(Pályák!A24,Mars!A:A,Mars!D:D)</f>
        <v>39.32</v>
      </c>
      <c r="E24" s="12" t="str">
        <f>_xlfn.XLOOKUP(Pályák!A24,Mars!A:A,Mars!E:E)&amp;""&amp;_xlfn.XLOOKUP(Pályák!A24,Mars!A:A,Mars!F:F)</f>
        <v>-23</v>
      </c>
      <c r="F24" s="12" t="str">
        <f>_xlfn.XLOOKUP(Pályák!A24,Mars!A:A,Mars!E:E)&amp;""&amp;_xlfn.XLOOKUP(Pályák!A24,Mars!A:A,Mars!G:G)</f>
        <v>-47</v>
      </c>
      <c r="G24" s="12" t="str">
        <f>_xlfn.XLOOKUP(Pályák!A24,Mars!A:A,Mars!E:E)&amp;""&amp;_xlfn.XLOOKUP(Pályák!A24,Mars!A:A,Mars!H:H)</f>
        <v>-24,7</v>
      </c>
      <c r="H24" s="12"/>
      <c r="I24" s="12"/>
      <c r="J24" s="12"/>
      <c r="K24" s="12"/>
      <c r="L24" s="12"/>
      <c r="M24" s="12"/>
      <c r="N24" s="12"/>
      <c r="O24" s="12"/>
      <c r="P24" s="12"/>
      <c r="Q24" s="13"/>
    </row>
    <row r="25" spans="1:17" x14ac:dyDescent="0.25">
      <c r="A25" s="3">
        <v>44584</v>
      </c>
      <c r="B25" s="12">
        <f>_xlfn.XLOOKUP(Pályák!A25,Mars!A:A,Mars!B:B)</f>
        <v>17</v>
      </c>
      <c r="C25" s="12">
        <f>_xlfn.XLOOKUP(Pályák!A25,Mars!A:A,Mars!C:C)</f>
        <v>53</v>
      </c>
      <c r="D25" s="12">
        <f>_xlfn.XLOOKUP(Pályák!A25,Mars!A:A,Mars!D:D)</f>
        <v>49.17</v>
      </c>
      <c r="E25" s="12" t="str">
        <f>_xlfn.XLOOKUP(Pályák!A25,Mars!A:A,Mars!E:E)&amp;""&amp;_xlfn.XLOOKUP(Pályák!A25,Mars!A:A,Mars!F:F)</f>
        <v>-23</v>
      </c>
      <c r="F25" s="12" t="str">
        <f>_xlfn.XLOOKUP(Pályák!A25,Mars!A:A,Mars!E:E)&amp;""&amp;_xlfn.XLOOKUP(Pályák!A25,Mars!A:A,Mars!G:G)</f>
        <v>-48</v>
      </c>
      <c r="G25" s="12" t="str">
        <f>_xlfn.XLOOKUP(Pályák!A25,Mars!A:A,Mars!E:E)&amp;""&amp;_xlfn.XLOOKUP(Pályák!A25,Mars!A:A,Mars!H:H)</f>
        <v>-42,2</v>
      </c>
      <c r="H25" s="12"/>
      <c r="I25" s="12"/>
      <c r="J25" s="12"/>
      <c r="K25" s="12"/>
      <c r="L25" s="12"/>
      <c r="M25" s="12"/>
      <c r="N25" s="12"/>
      <c r="O25" s="12"/>
      <c r="P25" s="12"/>
      <c r="Q25" s="13"/>
    </row>
    <row r="26" spans="1:17" x14ac:dyDescent="0.25">
      <c r="A26" s="3">
        <v>44585</v>
      </c>
      <c r="B26" s="12">
        <f>_xlfn.XLOOKUP(Pályák!A26,Mars!A:A,Mars!B:B)</f>
        <v>17</v>
      </c>
      <c r="C26" s="12">
        <f>_xlfn.XLOOKUP(Pályák!A26,Mars!A:A,Mars!C:C)</f>
        <v>56</v>
      </c>
      <c r="D26" s="12">
        <f>_xlfn.XLOOKUP(Pályák!A26,Mars!A:A,Mars!D:D)</f>
        <v>59.26</v>
      </c>
      <c r="E26" s="12" t="str">
        <f>_xlfn.XLOOKUP(Pályák!A26,Mars!A:A,Mars!E:E)&amp;""&amp;_xlfn.XLOOKUP(Pályák!A26,Mars!A:A,Mars!F:F)</f>
        <v>-23</v>
      </c>
      <c r="F26" s="12" t="str">
        <f>_xlfn.XLOOKUP(Pályák!A26,Mars!A:A,Mars!E:E)&amp;""&amp;_xlfn.XLOOKUP(Pályák!A26,Mars!A:A,Mars!G:G)</f>
        <v>-49</v>
      </c>
      <c r="G26" s="12" t="str">
        <f>_xlfn.XLOOKUP(Pályák!A26,Mars!A:A,Mars!E:E)&amp;""&amp;_xlfn.XLOOKUP(Pályák!A26,Mars!A:A,Mars!H:H)</f>
        <v>-45,6</v>
      </c>
      <c r="H26" s="12"/>
      <c r="I26" s="12"/>
      <c r="J26" s="12"/>
      <c r="K26" s="12"/>
      <c r="L26" s="12"/>
      <c r="M26" s="12"/>
      <c r="N26" s="12"/>
      <c r="O26" s="12"/>
      <c r="P26" s="12"/>
      <c r="Q26" s="13"/>
    </row>
    <row r="27" spans="1:17" x14ac:dyDescent="0.25">
      <c r="A27" s="3">
        <v>44586</v>
      </c>
      <c r="B27" s="12">
        <f>_xlfn.XLOOKUP(Pályák!A27,Mars!A:A,Mars!B:B)</f>
        <v>18</v>
      </c>
      <c r="C27" s="12">
        <f>_xlfn.XLOOKUP(Pályák!A27,Mars!A:A,Mars!C:C)</f>
        <v>0</v>
      </c>
      <c r="D27" s="12">
        <f>_xlfn.XLOOKUP(Pályák!A27,Mars!A:A,Mars!D:D)</f>
        <v>9.5500000000000007</v>
      </c>
      <c r="E27" s="12" t="str">
        <f>_xlfn.XLOOKUP(Pályák!A27,Mars!A:A,Mars!E:E)&amp;""&amp;_xlfn.XLOOKUP(Pályák!A27,Mars!A:A,Mars!F:F)</f>
        <v>-23</v>
      </c>
      <c r="F27" s="12" t="str">
        <f>_xlfn.XLOOKUP(Pályák!A27,Mars!A:A,Mars!E:E)&amp;""&amp;_xlfn.XLOOKUP(Pályák!A27,Mars!A:A,Mars!G:G)</f>
        <v>-50</v>
      </c>
      <c r="G27" s="12" t="str">
        <f>_xlfn.XLOOKUP(Pályák!A27,Mars!A:A,Mars!E:E)&amp;""&amp;_xlfn.XLOOKUP(Pályák!A27,Mars!A:A,Mars!H:H)</f>
        <v>-34,7</v>
      </c>
      <c r="H27" s="12"/>
      <c r="I27" s="12"/>
      <c r="J27" s="12"/>
      <c r="K27" s="12"/>
      <c r="L27" s="12"/>
      <c r="M27" s="12"/>
      <c r="N27" s="12"/>
      <c r="O27" s="12"/>
      <c r="P27" s="12"/>
      <c r="Q27" s="13"/>
    </row>
    <row r="28" spans="1:17" x14ac:dyDescent="0.25">
      <c r="A28" s="3">
        <v>44587</v>
      </c>
      <c r="B28" s="12">
        <f>_xlfn.XLOOKUP(Pályák!A28,Mars!A:A,Mars!B:B)</f>
        <v>18</v>
      </c>
      <c r="C28" s="12">
        <f>_xlfn.XLOOKUP(Pályák!A28,Mars!A:A,Mars!C:C)</f>
        <v>3</v>
      </c>
      <c r="D28" s="12">
        <f>_xlfn.XLOOKUP(Pályák!A28,Mars!A:A,Mars!D:D)</f>
        <v>20.05</v>
      </c>
      <c r="E28" s="12" t="str">
        <f>_xlfn.XLOOKUP(Pályák!A28,Mars!A:A,Mars!E:E)&amp;""&amp;_xlfn.XLOOKUP(Pályák!A28,Mars!A:A,Mars!F:F)</f>
        <v>-23</v>
      </c>
      <c r="F28" s="12" t="str">
        <f>_xlfn.XLOOKUP(Pályák!A28,Mars!A:A,Mars!E:E)&amp;""&amp;_xlfn.XLOOKUP(Pályák!A28,Mars!A:A,Mars!G:G)</f>
        <v>-51</v>
      </c>
      <c r="G28" s="12" t="str">
        <f>_xlfn.XLOOKUP(Pályák!A28,Mars!A:A,Mars!E:E)&amp;""&amp;_xlfn.XLOOKUP(Pályák!A28,Mars!A:A,Mars!H:H)</f>
        <v>-9,6</v>
      </c>
      <c r="H28" s="12"/>
      <c r="I28" s="12"/>
      <c r="J28" s="12"/>
      <c r="K28" s="12"/>
      <c r="L28" s="12"/>
      <c r="M28" s="12"/>
      <c r="N28" s="12"/>
      <c r="O28" s="12"/>
      <c r="P28" s="12"/>
      <c r="Q28" s="13"/>
    </row>
    <row r="29" spans="1:17" x14ac:dyDescent="0.25">
      <c r="A29" s="3">
        <v>44588</v>
      </c>
      <c r="B29" s="12">
        <f>_xlfn.XLOOKUP(Pályák!A29,Mars!A:A,Mars!B:B)</f>
        <v>18</v>
      </c>
      <c r="C29" s="12">
        <f>_xlfn.XLOOKUP(Pályák!A29,Mars!A:A,Mars!C:C)</f>
        <v>6</v>
      </c>
      <c r="D29" s="12">
        <f>_xlfn.XLOOKUP(Pályák!A29,Mars!A:A,Mars!D:D)</f>
        <v>30.73</v>
      </c>
      <c r="E29" s="12" t="str">
        <f>_xlfn.XLOOKUP(Pályák!A29,Mars!A:A,Mars!E:E)&amp;""&amp;_xlfn.XLOOKUP(Pályák!A29,Mars!A:A,Mars!F:F)</f>
        <v>-23</v>
      </c>
      <c r="F29" s="12" t="str">
        <f>_xlfn.XLOOKUP(Pályák!A29,Mars!A:A,Mars!E:E)&amp;""&amp;_xlfn.XLOOKUP(Pályák!A29,Mars!A:A,Mars!G:G)</f>
        <v>-51</v>
      </c>
      <c r="G29" s="12" t="str">
        <f>_xlfn.XLOOKUP(Pályák!A29,Mars!A:A,Mars!E:E)&amp;""&amp;_xlfn.XLOOKUP(Pályák!A29,Mars!A:A,Mars!H:H)</f>
        <v>-30,2</v>
      </c>
      <c r="H29" s="12"/>
      <c r="I29" s="12"/>
      <c r="J29" s="12"/>
      <c r="K29" s="12"/>
      <c r="L29" s="12"/>
      <c r="M29" s="12"/>
      <c r="N29" s="12"/>
      <c r="O29" s="12"/>
      <c r="P29" s="12"/>
      <c r="Q29" s="13"/>
    </row>
    <row r="30" spans="1:17" x14ac:dyDescent="0.25">
      <c r="A30" s="3">
        <v>44589</v>
      </c>
      <c r="B30" s="12">
        <f>_xlfn.XLOOKUP(Pályák!A30,Mars!A:A,Mars!B:B)</f>
        <v>18</v>
      </c>
      <c r="C30" s="12">
        <f>_xlfn.XLOOKUP(Pályák!A30,Mars!A:A,Mars!C:C)</f>
        <v>9</v>
      </c>
      <c r="D30" s="12">
        <f>_xlfn.XLOOKUP(Pályák!A30,Mars!A:A,Mars!D:D)</f>
        <v>41.58</v>
      </c>
      <c r="E30" s="12" t="str">
        <f>_xlfn.XLOOKUP(Pályák!A30,Mars!A:A,Mars!E:E)&amp;""&amp;_xlfn.XLOOKUP(Pályák!A30,Mars!A:A,Mars!F:F)</f>
        <v>-23</v>
      </c>
      <c r="F30" s="12" t="str">
        <f>_xlfn.XLOOKUP(Pályák!A30,Mars!A:A,Mars!E:E)&amp;""&amp;_xlfn.XLOOKUP(Pályák!A30,Mars!A:A,Mars!G:G)</f>
        <v>-51</v>
      </c>
      <c r="G30" s="12" t="str">
        <f>_xlfn.XLOOKUP(Pályák!A30,Mars!A:A,Mars!E:E)&amp;""&amp;_xlfn.XLOOKUP(Pályák!A30,Mars!A:A,Mars!H:H)</f>
        <v>-36,4</v>
      </c>
      <c r="H30" s="12"/>
      <c r="I30" s="12"/>
      <c r="J30" s="12"/>
      <c r="K30" s="12"/>
      <c r="L30" s="12"/>
      <c r="M30" s="12"/>
      <c r="N30" s="12"/>
      <c r="O30" s="12"/>
      <c r="P30" s="12"/>
      <c r="Q30" s="13"/>
    </row>
    <row r="31" spans="1:17" x14ac:dyDescent="0.25">
      <c r="A31" s="3">
        <v>44590</v>
      </c>
      <c r="B31" s="12">
        <f>_xlfn.XLOOKUP(Pályák!A31,Mars!A:A,Mars!B:B)</f>
        <v>18</v>
      </c>
      <c r="C31" s="12">
        <f>_xlfn.XLOOKUP(Pályák!A31,Mars!A:A,Mars!C:C)</f>
        <v>12</v>
      </c>
      <c r="D31" s="12">
        <f>_xlfn.XLOOKUP(Pályák!A31,Mars!A:A,Mars!D:D)</f>
        <v>52.59</v>
      </c>
      <c r="E31" s="12" t="str">
        <f>_xlfn.XLOOKUP(Pályák!A31,Mars!A:A,Mars!E:E)&amp;""&amp;_xlfn.XLOOKUP(Pályák!A31,Mars!A:A,Mars!F:F)</f>
        <v>-23</v>
      </c>
      <c r="F31" s="12" t="str">
        <f>_xlfn.XLOOKUP(Pályák!A31,Mars!A:A,Mars!E:E)&amp;""&amp;_xlfn.XLOOKUP(Pályák!A31,Mars!A:A,Mars!G:G)</f>
        <v>-51</v>
      </c>
      <c r="G31" s="12" t="str">
        <f>_xlfn.XLOOKUP(Pályák!A31,Mars!A:A,Mars!E:E)&amp;""&amp;_xlfn.XLOOKUP(Pályák!A31,Mars!A:A,Mars!H:H)</f>
        <v>-28,3</v>
      </c>
      <c r="H31" s="12"/>
      <c r="I31" s="12"/>
      <c r="J31" s="12"/>
      <c r="K31" s="12"/>
      <c r="L31" s="12"/>
      <c r="M31" s="12"/>
      <c r="N31" s="12"/>
      <c r="O31" s="12"/>
      <c r="P31" s="12"/>
      <c r="Q31" s="13"/>
    </row>
    <row r="32" spans="1:17" ht="15.75" thickBot="1" x14ac:dyDescent="0.3">
      <c r="A32" s="3">
        <v>44591</v>
      </c>
      <c r="B32" s="12">
        <f>_xlfn.XLOOKUP(Pályák!A32,Mars!A:A,Mars!B:B)</f>
        <v>18</v>
      </c>
      <c r="C32" s="12">
        <f>_xlfn.XLOOKUP(Pályák!A32,Mars!A:A,Mars!C:C)</f>
        <v>16</v>
      </c>
      <c r="D32" s="12">
        <f>_xlfn.XLOOKUP(Pályák!A32,Mars!A:A,Mars!D:D)</f>
        <v>3.74</v>
      </c>
      <c r="E32" s="12" t="str">
        <f>_xlfn.XLOOKUP(Pályák!A32,Mars!A:A,Mars!E:E)&amp;""&amp;_xlfn.XLOOKUP(Pályák!A32,Mars!A:A,Mars!F:F)</f>
        <v>-23</v>
      </c>
      <c r="F32" s="12" t="str">
        <f>_xlfn.XLOOKUP(Pályák!A32,Mars!A:A,Mars!E:E)&amp;""&amp;_xlfn.XLOOKUP(Pályák!A32,Mars!A:A,Mars!G:G)</f>
        <v>-51</v>
      </c>
      <c r="G32" s="12" t="str">
        <f>_xlfn.XLOOKUP(Pályák!A32,Mars!A:A,Mars!E:E)&amp;""&amp;_xlfn.XLOOKUP(Pályák!A32,Mars!A:A,Mars!H:H)</f>
        <v>-5,7</v>
      </c>
      <c r="H32" s="14"/>
      <c r="I32" s="14"/>
      <c r="J32" s="14"/>
      <c r="K32" s="14"/>
      <c r="L32" s="14"/>
      <c r="M32" s="14"/>
      <c r="N32" s="14"/>
      <c r="O32" s="14"/>
      <c r="P32" s="14"/>
      <c r="Q32" s="15"/>
    </row>
    <row r="33" spans="1:7" x14ac:dyDescent="0.25">
      <c r="A33" s="3">
        <v>44592</v>
      </c>
      <c r="B33" s="12">
        <f>_xlfn.XLOOKUP(Pályák!A33,Mars!A:A,Mars!B:B)</f>
        <v>18</v>
      </c>
      <c r="C33" s="12">
        <f>_xlfn.XLOOKUP(Pályák!A33,Mars!A:A,Mars!C:C)</f>
        <v>19</v>
      </c>
      <c r="D33" s="12">
        <f>_xlfn.XLOOKUP(Pályák!A33,Mars!A:A,Mars!D:D)</f>
        <v>15.03</v>
      </c>
      <c r="E33" s="12" t="str">
        <f>_xlfn.XLOOKUP(Pályák!A33,Mars!A:A,Mars!E:E)&amp;""&amp;_xlfn.XLOOKUP(Pályák!A33,Mars!A:A,Mars!F:F)</f>
        <v>-23</v>
      </c>
      <c r="F33" s="12" t="str">
        <f>_xlfn.XLOOKUP(Pályák!A33,Mars!A:A,Mars!E:E)&amp;""&amp;_xlfn.XLOOKUP(Pályák!A33,Mars!A:A,Mars!G:G)</f>
        <v>-50</v>
      </c>
      <c r="G33" s="12" t="str">
        <f>_xlfn.XLOOKUP(Pályák!A33,Mars!A:A,Mars!E:E)&amp;""&amp;_xlfn.XLOOKUP(Pályák!A33,Mars!A:A,Mars!H:H)</f>
        <v>-28,7</v>
      </c>
    </row>
    <row r="34" spans="1:7" x14ac:dyDescent="0.25">
      <c r="A34" s="3">
        <v>44593</v>
      </c>
      <c r="B34" s="12">
        <f>_xlfn.XLOOKUP(Pályák!A34,Mars!A:A,Mars!B:B)</f>
        <v>18</v>
      </c>
      <c r="C34" s="12">
        <f>_xlfn.XLOOKUP(Pályák!A34,Mars!A:A,Mars!C:C)</f>
        <v>22</v>
      </c>
      <c r="D34" s="12">
        <f>_xlfn.XLOOKUP(Pályák!A34,Mars!A:A,Mars!D:D)</f>
        <v>26.42</v>
      </c>
      <c r="E34" s="12" t="str">
        <f>_xlfn.XLOOKUP(Pályák!A34,Mars!A:A,Mars!E:E)&amp;""&amp;_xlfn.XLOOKUP(Pályák!A34,Mars!A:A,Mars!F:F)</f>
        <v>-23</v>
      </c>
      <c r="F34" s="12" t="str">
        <f>_xlfn.XLOOKUP(Pályák!A34,Mars!A:A,Mars!E:E)&amp;""&amp;_xlfn.XLOOKUP(Pályák!A34,Mars!A:A,Mars!G:G)</f>
        <v>-49</v>
      </c>
      <c r="G34" s="12" t="str">
        <f>_xlfn.XLOOKUP(Pályák!A34,Mars!A:A,Mars!E:E)&amp;""&amp;_xlfn.XLOOKUP(Pályák!A34,Mars!A:A,Mars!H:H)</f>
        <v>-37,2</v>
      </c>
    </row>
    <row r="35" spans="1:7" x14ac:dyDescent="0.25">
      <c r="A35" s="3">
        <v>44594</v>
      </c>
      <c r="B35" s="12">
        <f>_xlfn.XLOOKUP(Pályák!A35,Mars!A:A,Mars!B:B)</f>
        <v>18</v>
      </c>
      <c r="C35" s="12">
        <f>_xlfn.XLOOKUP(Pályák!A35,Mars!A:A,Mars!C:C)</f>
        <v>25</v>
      </c>
      <c r="D35" s="12">
        <f>_xlfn.XLOOKUP(Pályák!A35,Mars!A:A,Mars!D:D)</f>
        <v>37.909999999999997</v>
      </c>
      <c r="E35" s="12" t="str">
        <f>_xlfn.XLOOKUP(Pályák!A35,Mars!A:A,Mars!E:E)&amp;""&amp;_xlfn.XLOOKUP(Pályák!A35,Mars!A:A,Mars!F:F)</f>
        <v>-23</v>
      </c>
      <c r="F35" s="12" t="str">
        <f>_xlfn.XLOOKUP(Pályák!A35,Mars!A:A,Mars!E:E)&amp;""&amp;_xlfn.XLOOKUP(Pályák!A35,Mars!A:A,Mars!G:G)</f>
        <v>-48</v>
      </c>
      <c r="G35" s="12" t="str">
        <f>_xlfn.XLOOKUP(Pályák!A35,Mars!A:A,Mars!E:E)&amp;""&amp;_xlfn.XLOOKUP(Pályák!A35,Mars!A:A,Mars!H:H)</f>
        <v>-31,2</v>
      </c>
    </row>
    <row r="36" spans="1:7" x14ac:dyDescent="0.25">
      <c r="A36" s="3">
        <v>44595</v>
      </c>
      <c r="B36" s="12">
        <f>_xlfn.XLOOKUP(Pályák!A36,Mars!A:A,Mars!B:B)</f>
        <v>18</v>
      </c>
      <c r="C36" s="12">
        <f>_xlfn.XLOOKUP(Pályák!A36,Mars!A:A,Mars!C:C)</f>
        <v>28</v>
      </c>
      <c r="D36" s="12">
        <f>_xlfn.XLOOKUP(Pályák!A36,Mars!A:A,Mars!D:D)</f>
        <v>49.49</v>
      </c>
      <c r="E36" s="12" t="str">
        <f>_xlfn.XLOOKUP(Pályák!A36,Mars!A:A,Mars!E:E)&amp;""&amp;_xlfn.XLOOKUP(Pályák!A36,Mars!A:A,Mars!F:F)</f>
        <v>-23</v>
      </c>
      <c r="F36" s="12" t="str">
        <f>_xlfn.XLOOKUP(Pályák!A36,Mars!A:A,Mars!E:E)&amp;""&amp;_xlfn.XLOOKUP(Pályák!A36,Mars!A:A,Mars!G:G)</f>
        <v>-47</v>
      </c>
      <c r="G36" s="12" t="str">
        <f>_xlfn.XLOOKUP(Pályák!A36,Mars!A:A,Mars!E:E)&amp;""&amp;_xlfn.XLOOKUP(Pályák!A36,Mars!A:A,Mars!H:H)</f>
        <v>-10,7</v>
      </c>
    </row>
    <row r="37" spans="1:7" x14ac:dyDescent="0.25">
      <c r="A37" s="3">
        <v>44596</v>
      </c>
      <c r="B37" s="12">
        <f>_xlfn.XLOOKUP(Pályák!A37,Mars!A:A,Mars!B:B)</f>
        <v>18</v>
      </c>
      <c r="C37" s="12">
        <f>_xlfn.XLOOKUP(Pályák!A37,Mars!A:A,Mars!C:C)</f>
        <v>32</v>
      </c>
      <c r="D37" s="12">
        <f>_xlfn.XLOOKUP(Pályák!A37,Mars!A:A,Mars!D:D)</f>
        <v>1.1299999999999999</v>
      </c>
      <c r="E37" s="12" t="str">
        <f>_xlfn.XLOOKUP(Pályák!A37,Mars!A:A,Mars!E:E)&amp;""&amp;_xlfn.XLOOKUP(Pályák!A37,Mars!A:A,Mars!F:F)</f>
        <v>-23</v>
      </c>
      <c r="F37" s="12" t="str">
        <f>_xlfn.XLOOKUP(Pályák!A37,Mars!A:A,Mars!E:E)&amp;""&amp;_xlfn.XLOOKUP(Pályák!A37,Mars!A:A,Mars!G:G)</f>
        <v>-45</v>
      </c>
      <c r="G37" s="12" t="str">
        <f>_xlfn.XLOOKUP(Pályák!A37,Mars!A:A,Mars!E:E)&amp;""&amp;_xlfn.XLOOKUP(Pályák!A37,Mars!A:A,Mars!H:H)</f>
        <v>-35,8</v>
      </c>
    </row>
    <row r="38" spans="1:7" x14ac:dyDescent="0.25">
      <c r="A38" s="3">
        <v>44597</v>
      </c>
      <c r="B38" s="12">
        <f>_xlfn.XLOOKUP(Pályák!A38,Mars!A:A,Mars!B:B)</f>
        <v>18</v>
      </c>
      <c r="C38" s="12">
        <f>_xlfn.XLOOKUP(Pályák!A38,Mars!A:A,Mars!C:C)</f>
        <v>35</v>
      </c>
      <c r="D38" s="12">
        <f>_xlfn.XLOOKUP(Pályák!A38,Mars!A:A,Mars!D:D)</f>
        <v>12.83</v>
      </c>
      <c r="E38" s="12" t="str">
        <f>_xlfn.XLOOKUP(Pályák!A38,Mars!A:A,Mars!E:E)&amp;""&amp;_xlfn.XLOOKUP(Pályák!A38,Mars!A:A,Mars!F:F)</f>
        <v>-23</v>
      </c>
      <c r="F38" s="12" t="str">
        <f>_xlfn.XLOOKUP(Pályák!A38,Mars!A:A,Mars!E:E)&amp;""&amp;_xlfn.XLOOKUP(Pályák!A38,Mars!A:A,Mars!G:G)</f>
        <v>-43</v>
      </c>
      <c r="G38" s="12" t="str">
        <f>_xlfn.XLOOKUP(Pályák!A38,Mars!A:A,Mars!E:E)&amp;""&amp;_xlfn.XLOOKUP(Pályák!A38,Mars!A:A,Mars!H:H)</f>
        <v>-46,3</v>
      </c>
    </row>
    <row r="39" spans="1:7" x14ac:dyDescent="0.25">
      <c r="A39" s="3">
        <v>44598</v>
      </c>
      <c r="B39" s="12">
        <f>_xlfn.XLOOKUP(Pályák!A39,Mars!A:A,Mars!B:B)</f>
        <v>18</v>
      </c>
      <c r="C39" s="12">
        <f>_xlfn.XLOOKUP(Pályák!A39,Mars!A:A,Mars!C:C)</f>
        <v>38</v>
      </c>
      <c r="D39" s="12">
        <f>_xlfn.XLOOKUP(Pályák!A39,Mars!A:A,Mars!D:D)</f>
        <v>24.57</v>
      </c>
      <c r="E39" s="12" t="str">
        <f>_xlfn.XLOOKUP(Pályák!A39,Mars!A:A,Mars!E:E)&amp;""&amp;_xlfn.XLOOKUP(Pályák!A39,Mars!A:A,Mars!F:F)</f>
        <v>-23</v>
      </c>
      <c r="F39" s="12" t="str">
        <f>_xlfn.XLOOKUP(Pályák!A39,Mars!A:A,Mars!E:E)&amp;""&amp;_xlfn.XLOOKUP(Pályák!A39,Mars!A:A,Mars!G:G)</f>
        <v>-41</v>
      </c>
      <c r="G39" s="12" t="str">
        <f>_xlfn.XLOOKUP(Pályák!A39,Mars!A:A,Mars!E:E)&amp;""&amp;_xlfn.XLOOKUP(Pályák!A39,Mars!A:A,Mars!H:H)</f>
        <v>-42,3</v>
      </c>
    </row>
    <row r="40" spans="1:7" x14ac:dyDescent="0.25">
      <c r="A40" s="3">
        <v>44599</v>
      </c>
      <c r="B40" s="12">
        <f>_xlfn.XLOOKUP(Pályák!A40,Mars!A:A,Mars!B:B)</f>
        <v>18</v>
      </c>
      <c r="C40" s="12">
        <f>_xlfn.XLOOKUP(Pályák!A40,Mars!A:A,Mars!C:C)</f>
        <v>41</v>
      </c>
      <c r="D40" s="12">
        <f>_xlfn.XLOOKUP(Pályák!A40,Mars!A:A,Mars!D:D)</f>
        <v>36.340000000000003</v>
      </c>
      <c r="E40" s="12" t="str">
        <f>_xlfn.XLOOKUP(Pályák!A40,Mars!A:A,Mars!E:E)&amp;""&amp;_xlfn.XLOOKUP(Pályák!A40,Mars!A:A,Mars!F:F)</f>
        <v>-23</v>
      </c>
      <c r="F40" s="12" t="str">
        <f>_xlfn.XLOOKUP(Pályák!A40,Mars!A:A,Mars!E:E)&amp;""&amp;_xlfn.XLOOKUP(Pályák!A40,Mars!A:A,Mars!G:G)</f>
        <v>-39</v>
      </c>
      <c r="G40" s="12" t="str">
        <f>_xlfn.XLOOKUP(Pályák!A40,Mars!A:A,Mars!E:E)&amp;""&amp;_xlfn.XLOOKUP(Pályák!A40,Mars!A:A,Mars!H:H)</f>
        <v>-23,9</v>
      </c>
    </row>
    <row r="41" spans="1:7" x14ac:dyDescent="0.25">
      <c r="A41" s="3">
        <v>44600</v>
      </c>
      <c r="B41" s="12">
        <f>_xlfn.XLOOKUP(Pályák!A41,Mars!A:A,Mars!B:B)</f>
        <v>18</v>
      </c>
      <c r="C41" s="12">
        <f>_xlfn.XLOOKUP(Pályák!A41,Mars!A:A,Mars!C:C)</f>
        <v>44</v>
      </c>
      <c r="D41" s="12">
        <f>_xlfn.XLOOKUP(Pályák!A41,Mars!A:A,Mars!D:D)</f>
        <v>48.13</v>
      </c>
      <c r="E41" s="12" t="str">
        <f>_xlfn.XLOOKUP(Pályák!A41,Mars!A:A,Mars!E:E)&amp;""&amp;_xlfn.XLOOKUP(Pályák!A41,Mars!A:A,Mars!F:F)</f>
        <v>-23</v>
      </c>
      <c r="F41" s="12" t="str">
        <f>_xlfn.XLOOKUP(Pályák!A41,Mars!A:A,Mars!E:E)&amp;""&amp;_xlfn.XLOOKUP(Pályák!A41,Mars!A:A,Mars!G:G)</f>
        <v>-36</v>
      </c>
      <c r="G41" s="12" t="str">
        <f>_xlfn.XLOOKUP(Pályák!A41,Mars!A:A,Mars!E:E)&amp;""&amp;_xlfn.XLOOKUP(Pályák!A41,Mars!A:A,Mars!H:H)</f>
        <v>-51</v>
      </c>
    </row>
    <row r="42" spans="1:7" x14ac:dyDescent="0.25">
      <c r="A42" s="3">
        <v>44601</v>
      </c>
      <c r="B42" s="12">
        <f>_xlfn.XLOOKUP(Pályák!A42,Mars!A:A,Mars!B:B)</f>
        <v>18</v>
      </c>
      <c r="C42" s="12">
        <f>_xlfn.XLOOKUP(Pályák!A42,Mars!A:A,Mars!C:C)</f>
        <v>47</v>
      </c>
      <c r="D42" s="12">
        <f>_xlfn.XLOOKUP(Pályák!A42,Mars!A:A,Mars!D:D)</f>
        <v>59.93</v>
      </c>
      <c r="E42" s="12" t="str">
        <f>_xlfn.XLOOKUP(Pályák!A42,Mars!A:A,Mars!E:E)&amp;""&amp;_xlfn.XLOOKUP(Pályák!A42,Mars!A:A,Mars!F:F)</f>
        <v>-23</v>
      </c>
      <c r="F42" s="12" t="str">
        <f>_xlfn.XLOOKUP(Pályák!A42,Mars!A:A,Mars!E:E)&amp;""&amp;_xlfn.XLOOKUP(Pályák!A42,Mars!A:A,Mars!G:G)</f>
        <v>-34</v>
      </c>
      <c r="G42" s="12" t="str">
        <f>_xlfn.XLOOKUP(Pályák!A42,Mars!A:A,Mars!E:E)&amp;""&amp;_xlfn.XLOOKUP(Pályák!A42,Mars!A:A,Mars!H:H)</f>
        <v>-3,6</v>
      </c>
    </row>
    <row r="43" spans="1:7" x14ac:dyDescent="0.25">
      <c r="A43" s="3">
        <v>44602</v>
      </c>
      <c r="B43" s="12">
        <f>_xlfn.XLOOKUP(Pályák!A43,Mars!A:A,Mars!B:B)</f>
        <v>18</v>
      </c>
      <c r="C43" s="12">
        <f>_xlfn.XLOOKUP(Pályák!A43,Mars!A:A,Mars!C:C)</f>
        <v>51</v>
      </c>
      <c r="D43" s="12">
        <f>_xlfn.XLOOKUP(Pályák!A43,Mars!A:A,Mars!D:D)</f>
        <v>11.72</v>
      </c>
      <c r="E43" s="12" t="str">
        <f>_xlfn.XLOOKUP(Pályák!A43,Mars!A:A,Mars!E:E)&amp;""&amp;_xlfn.XLOOKUP(Pályák!A43,Mars!A:A,Mars!F:F)</f>
        <v>-23</v>
      </c>
      <c r="F43" s="12" t="str">
        <f>_xlfn.XLOOKUP(Pályák!A43,Mars!A:A,Mars!E:E)&amp;""&amp;_xlfn.XLOOKUP(Pályák!A43,Mars!A:A,Mars!G:G)</f>
        <v>-31</v>
      </c>
      <c r="G43" s="12" t="str">
        <f>_xlfn.XLOOKUP(Pályák!A43,Mars!A:A,Mars!E:E)&amp;""&amp;_xlfn.XLOOKUP(Pályák!A43,Mars!A:A,Mars!H:H)</f>
        <v>-1,7</v>
      </c>
    </row>
    <row r="44" spans="1:7" x14ac:dyDescent="0.25">
      <c r="A44" s="3">
        <v>44603</v>
      </c>
      <c r="B44" s="12">
        <f>_xlfn.XLOOKUP(Pályák!A44,Mars!A:A,Mars!B:B)</f>
        <v>18</v>
      </c>
      <c r="C44" s="12">
        <f>_xlfn.XLOOKUP(Pályák!A44,Mars!A:A,Mars!C:C)</f>
        <v>54</v>
      </c>
      <c r="D44" s="12">
        <f>_xlfn.XLOOKUP(Pályák!A44,Mars!A:A,Mars!D:D)</f>
        <v>23.5</v>
      </c>
      <c r="E44" s="12" t="str">
        <f>_xlfn.XLOOKUP(Pályák!A44,Mars!A:A,Mars!E:E)&amp;""&amp;_xlfn.XLOOKUP(Pályák!A44,Mars!A:A,Mars!F:F)</f>
        <v>-23</v>
      </c>
      <c r="F44" s="12" t="str">
        <f>_xlfn.XLOOKUP(Pályák!A44,Mars!A:A,Mars!E:E)&amp;""&amp;_xlfn.XLOOKUP(Pályák!A44,Mars!A:A,Mars!G:G)</f>
        <v>-27</v>
      </c>
      <c r="G44" s="12" t="str">
        <f>_xlfn.XLOOKUP(Pályák!A44,Mars!A:A,Mars!E:E)&amp;""&amp;_xlfn.XLOOKUP(Pályák!A44,Mars!A:A,Mars!H:H)</f>
        <v>-45,5</v>
      </c>
    </row>
    <row r="45" spans="1:7" x14ac:dyDescent="0.25">
      <c r="A45" s="3">
        <v>44604</v>
      </c>
      <c r="B45" s="12">
        <f>_xlfn.XLOOKUP(Pályák!A45,Mars!A:A,Mars!B:B)</f>
        <v>18</v>
      </c>
      <c r="C45" s="12">
        <f>_xlfn.XLOOKUP(Pályák!A45,Mars!A:A,Mars!C:C)</f>
        <v>57</v>
      </c>
      <c r="D45" s="12">
        <f>_xlfn.XLOOKUP(Pályák!A45,Mars!A:A,Mars!D:D)</f>
        <v>35.25</v>
      </c>
      <c r="E45" s="12" t="str">
        <f>_xlfn.XLOOKUP(Pályák!A45,Mars!A:A,Mars!E:E)&amp;""&amp;_xlfn.XLOOKUP(Pályák!A45,Mars!A:A,Mars!F:F)</f>
        <v>-23</v>
      </c>
      <c r="F45" s="12" t="str">
        <f>_xlfn.XLOOKUP(Pályák!A45,Mars!A:A,Mars!E:E)&amp;""&amp;_xlfn.XLOOKUP(Pályák!A45,Mars!A:A,Mars!G:G)</f>
        <v>-24</v>
      </c>
      <c r="G45" s="12" t="str">
        <f>_xlfn.XLOOKUP(Pályák!A45,Mars!A:A,Mars!E:E)&amp;""&amp;_xlfn.XLOOKUP(Pályák!A45,Mars!A:A,Mars!H:H)</f>
        <v>-14,8</v>
      </c>
    </row>
    <row r="46" spans="1:7" x14ac:dyDescent="0.25">
      <c r="A46" s="3">
        <v>44605</v>
      </c>
      <c r="B46" s="12">
        <f>_xlfn.XLOOKUP(Pályák!A46,Mars!A:A,Mars!B:B)</f>
        <v>19</v>
      </c>
      <c r="C46" s="12">
        <f>_xlfn.XLOOKUP(Pályák!A46,Mars!A:A,Mars!C:C)</f>
        <v>0</v>
      </c>
      <c r="D46" s="12">
        <f>_xlfn.XLOOKUP(Pályák!A46,Mars!A:A,Mars!D:D)</f>
        <v>46.96</v>
      </c>
      <c r="E46" s="12" t="str">
        <f>_xlfn.XLOOKUP(Pályák!A46,Mars!A:A,Mars!E:E)&amp;""&amp;_xlfn.XLOOKUP(Pályák!A46,Mars!A:A,Mars!F:F)</f>
        <v>-23</v>
      </c>
      <c r="F46" s="12" t="str">
        <f>_xlfn.XLOOKUP(Pályák!A46,Mars!A:A,Mars!E:E)&amp;""&amp;_xlfn.XLOOKUP(Pályák!A46,Mars!A:A,Mars!G:G)</f>
        <v>-20</v>
      </c>
      <c r="G46" s="12" t="str">
        <f>_xlfn.XLOOKUP(Pályák!A46,Mars!A:A,Mars!E:E)&amp;""&amp;_xlfn.XLOOKUP(Pályák!A46,Mars!A:A,Mars!H:H)</f>
        <v>-29,8</v>
      </c>
    </row>
    <row r="47" spans="1:7" x14ac:dyDescent="0.25">
      <c r="A47" s="3">
        <v>44606</v>
      </c>
      <c r="B47" s="12">
        <f>_xlfn.XLOOKUP(Pályák!A47,Mars!A:A,Mars!B:B)</f>
        <v>19</v>
      </c>
      <c r="C47" s="12">
        <f>_xlfn.XLOOKUP(Pályák!A47,Mars!A:A,Mars!C:C)</f>
        <v>3</v>
      </c>
      <c r="D47" s="12">
        <f>_xlfn.XLOOKUP(Pályák!A47,Mars!A:A,Mars!D:D)</f>
        <v>58.63</v>
      </c>
      <c r="E47" s="12" t="str">
        <f>_xlfn.XLOOKUP(Pályák!A47,Mars!A:A,Mars!E:E)&amp;""&amp;_xlfn.XLOOKUP(Pályák!A47,Mars!A:A,Mars!F:F)</f>
        <v>-23</v>
      </c>
      <c r="F47" s="12" t="str">
        <f>_xlfn.XLOOKUP(Pályák!A47,Mars!A:A,Mars!E:E)&amp;""&amp;_xlfn.XLOOKUP(Pályák!A47,Mars!A:A,Mars!G:G)</f>
        <v>-16</v>
      </c>
      <c r="G47" s="12" t="str">
        <f>_xlfn.XLOOKUP(Pályák!A47,Mars!A:A,Mars!E:E)&amp;""&amp;_xlfn.XLOOKUP(Pályák!A47,Mars!A:A,Mars!H:H)</f>
        <v>-30,4</v>
      </c>
    </row>
    <row r="48" spans="1:7" x14ac:dyDescent="0.25">
      <c r="A48" s="3">
        <v>44607</v>
      </c>
      <c r="B48" s="12">
        <f>_xlfn.XLOOKUP(Pályák!A48,Mars!A:A,Mars!B:B)</f>
        <v>19</v>
      </c>
      <c r="C48" s="12">
        <f>_xlfn.XLOOKUP(Pályák!A48,Mars!A:A,Mars!C:C)</f>
        <v>7</v>
      </c>
      <c r="D48" s="12">
        <f>_xlfn.XLOOKUP(Pályák!A48,Mars!A:A,Mars!D:D)</f>
        <v>10.25</v>
      </c>
      <c r="E48" s="12" t="str">
        <f>_xlfn.XLOOKUP(Pályák!A48,Mars!A:A,Mars!E:E)&amp;""&amp;_xlfn.XLOOKUP(Pályák!A48,Mars!A:A,Mars!F:F)</f>
        <v>-23</v>
      </c>
      <c r="F48" s="12" t="str">
        <f>_xlfn.XLOOKUP(Pályák!A48,Mars!A:A,Mars!E:E)&amp;""&amp;_xlfn.XLOOKUP(Pályák!A48,Mars!A:A,Mars!G:G)</f>
        <v>-12</v>
      </c>
      <c r="G48" s="12" t="str">
        <f>_xlfn.XLOOKUP(Pályák!A48,Mars!A:A,Mars!E:E)&amp;""&amp;_xlfn.XLOOKUP(Pályák!A48,Mars!A:A,Mars!H:H)</f>
        <v>-16,8</v>
      </c>
    </row>
    <row r="49" spans="1:7" x14ac:dyDescent="0.25">
      <c r="A49" s="3">
        <v>44608</v>
      </c>
      <c r="B49" s="12">
        <f>_xlfn.XLOOKUP(Pályák!A49,Mars!A:A,Mars!B:B)</f>
        <v>19</v>
      </c>
      <c r="C49" s="12">
        <f>_xlfn.XLOOKUP(Pályák!A49,Mars!A:A,Mars!C:C)</f>
        <v>10</v>
      </c>
      <c r="D49" s="12">
        <f>_xlfn.XLOOKUP(Pályák!A49,Mars!A:A,Mars!D:D)</f>
        <v>21.79</v>
      </c>
      <c r="E49" s="12" t="str">
        <f>_xlfn.XLOOKUP(Pályák!A49,Mars!A:A,Mars!E:E)&amp;""&amp;_xlfn.XLOOKUP(Pályák!A49,Mars!A:A,Mars!F:F)</f>
        <v>-23</v>
      </c>
      <c r="F49" s="12" t="str">
        <f>_xlfn.XLOOKUP(Pályák!A49,Mars!A:A,Mars!E:E)&amp;""&amp;_xlfn.XLOOKUP(Pályák!A49,Mars!A:A,Mars!G:G)</f>
        <v>-7</v>
      </c>
      <c r="G49" s="12" t="str">
        <f>_xlfn.XLOOKUP(Pályák!A49,Mars!A:A,Mars!E:E)&amp;""&amp;_xlfn.XLOOKUP(Pályák!A49,Mars!A:A,Mars!H:H)</f>
        <v>-48,9</v>
      </c>
    </row>
    <row r="50" spans="1:7" x14ac:dyDescent="0.25">
      <c r="A50" s="3">
        <v>44609</v>
      </c>
      <c r="B50" s="12">
        <f>_xlfn.XLOOKUP(Pályák!A50,Mars!A:A,Mars!B:B)</f>
        <v>19</v>
      </c>
      <c r="C50" s="12">
        <f>_xlfn.XLOOKUP(Pályák!A50,Mars!A:A,Mars!C:C)</f>
        <v>13</v>
      </c>
      <c r="D50" s="12">
        <f>_xlfn.XLOOKUP(Pályák!A50,Mars!A:A,Mars!D:D)</f>
        <v>33.26</v>
      </c>
      <c r="E50" s="12" t="str">
        <f>_xlfn.XLOOKUP(Pályák!A50,Mars!A:A,Mars!E:E)&amp;""&amp;_xlfn.XLOOKUP(Pályák!A50,Mars!A:A,Mars!F:F)</f>
        <v>-23</v>
      </c>
      <c r="F50" s="12" t="str">
        <f>_xlfn.XLOOKUP(Pályák!A50,Mars!A:A,Mars!E:E)&amp;""&amp;_xlfn.XLOOKUP(Pályák!A50,Mars!A:A,Mars!G:G)</f>
        <v>-3</v>
      </c>
      <c r="G50" s="12" t="str">
        <f>_xlfn.XLOOKUP(Pályák!A50,Mars!A:A,Mars!E:E)&amp;""&amp;_xlfn.XLOOKUP(Pályák!A50,Mars!A:A,Mars!H:H)</f>
        <v>-6,7</v>
      </c>
    </row>
    <row r="51" spans="1:7" x14ac:dyDescent="0.25">
      <c r="A51" s="3">
        <v>44610</v>
      </c>
      <c r="B51" s="12">
        <f>_xlfn.XLOOKUP(Pályák!A51,Mars!A:A,Mars!B:B)</f>
        <v>19</v>
      </c>
      <c r="C51" s="12">
        <f>_xlfn.XLOOKUP(Pályák!A51,Mars!A:A,Mars!C:C)</f>
        <v>16</v>
      </c>
      <c r="D51" s="12">
        <f>_xlfn.XLOOKUP(Pályák!A51,Mars!A:A,Mars!D:D)</f>
        <v>44.65</v>
      </c>
      <c r="E51" s="12" t="str">
        <f>_xlfn.XLOOKUP(Pályák!A51,Mars!A:A,Mars!E:E)&amp;""&amp;_xlfn.XLOOKUP(Pályák!A51,Mars!A:A,Mars!F:F)</f>
        <v>-22</v>
      </c>
      <c r="F51" s="12" t="str">
        <f>_xlfn.XLOOKUP(Pályák!A51,Mars!A:A,Mars!E:E)&amp;""&amp;_xlfn.XLOOKUP(Pályák!A51,Mars!A:A,Mars!G:G)</f>
        <v>-58</v>
      </c>
      <c r="G51" s="12" t="str">
        <f>_xlfn.XLOOKUP(Pályák!A51,Mars!A:A,Mars!E:E)&amp;""&amp;_xlfn.XLOOKUP(Pályák!A51,Mars!A:A,Mars!H:H)</f>
        <v>-10,4</v>
      </c>
    </row>
    <row r="52" spans="1:7" x14ac:dyDescent="0.25">
      <c r="A52" s="3">
        <v>44611</v>
      </c>
      <c r="B52" s="12">
        <f>_xlfn.XLOOKUP(Pályák!A52,Mars!A:A,Mars!B:B)</f>
        <v>19</v>
      </c>
      <c r="C52" s="12">
        <f>_xlfn.XLOOKUP(Pályák!A52,Mars!A:A,Mars!C:C)</f>
        <v>19</v>
      </c>
      <c r="D52" s="12">
        <f>_xlfn.XLOOKUP(Pályák!A52,Mars!A:A,Mars!D:D)</f>
        <v>55.94</v>
      </c>
      <c r="E52" s="12" t="str">
        <f>_xlfn.XLOOKUP(Pályák!A52,Mars!A:A,Mars!E:E)&amp;""&amp;_xlfn.XLOOKUP(Pályák!A52,Mars!A:A,Mars!F:F)</f>
        <v>-22</v>
      </c>
      <c r="F52" s="12" t="str">
        <f>_xlfn.XLOOKUP(Pályák!A52,Mars!A:A,Mars!E:E)&amp;""&amp;_xlfn.XLOOKUP(Pályák!A52,Mars!A:A,Mars!G:G)</f>
        <v>-52</v>
      </c>
      <c r="G52" s="12" t="str">
        <f>_xlfn.XLOOKUP(Pályák!A52,Mars!A:A,Mars!E:E)&amp;""&amp;_xlfn.XLOOKUP(Pályák!A52,Mars!A:A,Mars!H:H)</f>
        <v>-59,9</v>
      </c>
    </row>
    <row r="53" spans="1:7" x14ac:dyDescent="0.25">
      <c r="A53" s="3">
        <v>44612</v>
      </c>
      <c r="B53" s="12">
        <f>_xlfn.XLOOKUP(Pályák!A53,Mars!A:A,Mars!B:B)</f>
        <v>19</v>
      </c>
      <c r="C53" s="12">
        <f>_xlfn.XLOOKUP(Pályák!A53,Mars!A:A,Mars!C:C)</f>
        <v>23</v>
      </c>
      <c r="D53" s="12">
        <f>_xlfn.XLOOKUP(Pályák!A53,Mars!A:A,Mars!D:D)</f>
        <v>7.12</v>
      </c>
      <c r="E53" s="12" t="str">
        <f>_xlfn.XLOOKUP(Pályák!A53,Mars!A:A,Mars!E:E)&amp;""&amp;_xlfn.XLOOKUP(Pályák!A53,Mars!A:A,Mars!F:F)</f>
        <v>-22</v>
      </c>
      <c r="F53" s="12" t="str">
        <f>_xlfn.XLOOKUP(Pályák!A53,Mars!A:A,Mars!E:E)&amp;""&amp;_xlfn.XLOOKUP(Pályák!A53,Mars!A:A,Mars!G:G)</f>
        <v>-47</v>
      </c>
      <c r="G53" s="12" t="str">
        <f>_xlfn.XLOOKUP(Pályák!A53,Mars!A:A,Mars!E:E)&amp;""&amp;_xlfn.XLOOKUP(Pályák!A53,Mars!A:A,Mars!H:H)</f>
        <v>-35,4</v>
      </c>
    </row>
    <row r="54" spans="1:7" x14ac:dyDescent="0.25">
      <c r="A54" s="3">
        <v>44613</v>
      </c>
      <c r="B54" s="12">
        <f>_xlfn.XLOOKUP(Pályák!A54,Mars!A:A,Mars!B:B)</f>
        <v>19</v>
      </c>
      <c r="C54" s="12">
        <f>_xlfn.XLOOKUP(Pályák!A54,Mars!A:A,Mars!C:C)</f>
        <v>26</v>
      </c>
      <c r="D54" s="12">
        <f>_xlfn.XLOOKUP(Pályák!A54,Mars!A:A,Mars!D:D)</f>
        <v>18.190000000000001</v>
      </c>
      <c r="E54" s="12" t="str">
        <f>_xlfn.XLOOKUP(Pályák!A54,Mars!A:A,Mars!E:E)&amp;""&amp;_xlfn.XLOOKUP(Pályák!A54,Mars!A:A,Mars!F:F)</f>
        <v>-22</v>
      </c>
      <c r="F54" s="12" t="str">
        <f>_xlfn.XLOOKUP(Pályák!A54,Mars!A:A,Mars!E:E)&amp;""&amp;_xlfn.XLOOKUP(Pályák!A54,Mars!A:A,Mars!G:G)</f>
        <v>-41</v>
      </c>
      <c r="G54" s="12" t="str">
        <f>_xlfn.XLOOKUP(Pályák!A54,Mars!A:A,Mars!E:E)&amp;""&amp;_xlfn.XLOOKUP(Pályák!A54,Mars!A:A,Mars!H:H)</f>
        <v>-56,8</v>
      </c>
    </row>
    <row r="55" spans="1:7" x14ac:dyDescent="0.25">
      <c r="A55" s="3">
        <v>44614</v>
      </c>
      <c r="B55" s="12">
        <f>_xlfn.XLOOKUP(Pályák!A55,Mars!A:A,Mars!B:B)</f>
        <v>19</v>
      </c>
      <c r="C55" s="12">
        <f>_xlfn.XLOOKUP(Pályák!A55,Mars!A:A,Mars!C:C)</f>
        <v>29</v>
      </c>
      <c r="D55" s="12">
        <f>_xlfn.XLOOKUP(Pályák!A55,Mars!A:A,Mars!D:D)</f>
        <v>29.14</v>
      </c>
      <c r="E55" s="12" t="str">
        <f>_xlfn.XLOOKUP(Pályák!A55,Mars!A:A,Mars!E:E)&amp;""&amp;_xlfn.XLOOKUP(Pályák!A55,Mars!A:A,Mars!F:F)</f>
        <v>-22</v>
      </c>
      <c r="F55" s="12" t="str">
        <f>_xlfn.XLOOKUP(Pályák!A55,Mars!A:A,Mars!E:E)&amp;""&amp;_xlfn.XLOOKUP(Pályák!A55,Mars!A:A,Mars!G:G)</f>
        <v>-36</v>
      </c>
      <c r="G55" s="12" t="str">
        <f>_xlfn.XLOOKUP(Pályák!A55,Mars!A:A,Mars!E:E)&amp;""&amp;_xlfn.XLOOKUP(Pályák!A55,Mars!A:A,Mars!H:H)</f>
        <v>-4,2</v>
      </c>
    </row>
    <row r="56" spans="1:7" x14ac:dyDescent="0.25">
      <c r="A56" s="3">
        <v>44615</v>
      </c>
      <c r="B56" s="12">
        <f>_xlfn.XLOOKUP(Pályák!A56,Mars!A:A,Mars!B:B)</f>
        <v>19</v>
      </c>
      <c r="C56" s="12">
        <f>_xlfn.XLOOKUP(Pályák!A56,Mars!A:A,Mars!C:C)</f>
        <v>32</v>
      </c>
      <c r="D56" s="12">
        <f>_xlfn.XLOOKUP(Pályák!A56,Mars!A:A,Mars!D:D)</f>
        <v>39.94</v>
      </c>
      <c r="E56" s="12" t="str">
        <f>_xlfn.XLOOKUP(Pályák!A56,Mars!A:A,Mars!E:E)&amp;""&amp;_xlfn.XLOOKUP(Pályák!A56,Mars!A:A,Mars!F:F)</f>
        <v>-22</v>
      </c>
      <c r="F56" s="12" t="str">
        <f>_xlfn.XLOOKUP(Pályák!A56,Mars!A:A,Mars!E:E)&amp;""&amp;_xlfn.XLOOKUP(Pályák!A56,Mars!A:A,Mars!G:G)</f>
        <v>-29</v>
      </c>
      <c r="G56" s="12" t="str">
        <f>_xlfn.XLOOKUP(Pályák!A56,Mars!A:A,Mars!E:E)&amp;""&amp;_xlfn.XLOOKUP(Pályák!A56,Mars!A:A,Mars!H:H)</f>
        <v>-57,8</v>
      </c>
    </row>
    <row r="57" spans="1:7" x14ac:dyDescent="0.25">
      <c r="A57" s="3">
        <v>44616</v>
      </c>
      <c r="B57" s="12">
        <f>_xlfn.XLOOKUP(Pályák!A57,Mars!A:A,Mars!B:B)</f>
        <v>19</v>
      </c>
      <c r="C57" s="12">
        <f>_xlfn.XLOOKUP(Pályák!A57,Mars!A:A,Mars!C:C)</f>
        <v>35</v>
      </c>
      <c r="D57" s="12">
        <f>_xlfn.XLOOKUP(Pályák!A57,Mars!A:A,Mars!D:D)</f>
        <v>50.6</v>
      </c>
      <c r="E57" s="12" t="str">
        <f>_xlfn.XLOOKUP(Pályák!A57,Mars!A:A,Mars!E:E)&amp;""&amp;_xlfn.XLOOKUP(Pályák!A57,Mars!A:A,Mars!F:F)</f>
        <v>-22</v>
      </c>
      <c r="F57" s="12" t="str">
        <f>_xlfn.XLOOKUP(Pályák!A57,Mars!A:A,Mars!E:E)&amp;""&amp;_xlfn.XLOOKUP(Pályák!A57,Mars!A:A,Mars!G:G)</f>
        <v>-23</v>
      </c>
      <c r="G57" s="12" t="str">
        <f>_xlfn.XLOOKUP(Pályák!A57,Mars!A:A,Mars!E:E)&amp;""&amp;_xlfn.XLOOKUP(Pályák!A57,Mars!A:A,Mars!H:H)</f>
        <v>-37,5</v>
      </c>
    </row>
    <row r="58" spans="1:7" x14ac:dyDescent="0.25">
      <c r="A58" s="3">
        <v>44617</v>
      </c>
      <c r="B58" s="12">
        <f>_xlfn.XLOOKUP(Pályák!A58,Mars!A:A,Mars!B:B)</f>
        <v>19</v>
      </c>
      <c r="C58" s="12">
        <f>_xlfn.XLOOKUP(Pályák!A58,Mars!A:A,Mars!C:C)</f>
        <v>39</v>
      </c>
      <c r="D58" s="12">
        <f>_xlfn.XLOOKUP(Pályák!A58,Mars!A:A,Mars!D:D)</f>
        <v>1.1000000000000001</v>
      </c>
      <c r="E58" s="12" t="str">
        <f>_xlfn.XLOOKUP(Pályák!A58,Mars!A:A,Mars!E:E)&amp;""&amp;_xlfn.XLOOKUP(Pályák!A58,Mars!A:A,Mars!F:F)</f>
        <v>-22</v>
      </c>
      <c r="F58" s="12" t="str">
        <f>_xlfn.XLOOKUP(Pályák!A58,Mars!A:A,Mars!E:E)&amp;""&amp;_xlfn.XLOOKUP(Pályák!A58,Mars!A:A,Mars!G:G)</f>
        <v>-17</v>
      </c>
      <c r="G58" s="12" t="str">
        <f>_xlfn.XLOOKUP(Pályák!A58,Mars!A:A,Mars!E:E)&amp;""&amp;_xlfn.XLOOKUP(Pályák!A58,Mars!A:A,Mars!H:H)</f>
        <v>-3,4</v>
      </c>
    </row>
    <row r="59" spans="1:7" x14ac:dyDescent="0.25">
      <c r="A59" s="3">
        <v>44618</v>
      </c>
      <c r="B59" s="12">
        <f>_xlfn.XLOOKUP(Pályák!A59,Mars!A:A,Mars!B:B)</f>
        <v>19</v>
      </c>
      <c r="C59" s="12">
        <f>_xlfn.XLOOKUP(Pályák!A59,Mars!A:A,Mars!C:C)</f>
        <v>42</v>
      </c>
      <c r="D59" s="12">
        <f>_xlfn.XLOOKUP(Pályák!A59,Mars!A:A,Mars!D:D)</f>
        <v>11.43</v>
      </c>
      <c r="E59" s="12" t="str">
        <f>_xlfn.XLOOKUP(Pályák!A59,Mars!A:A,Mars!E:E)&amp;""&amp;_xlfn.XLOOKUP(Pályák!A59,Mars!A:A,Mars!F:F)</f>
        <v>-22</v>
      </c>
      <c r="F59" s="12" t="str">
        <f>_xlfn.XLOOKUP(Pályák!A59,Mars!A:A,Mars!E:E)&amp;""&amp;_xlfn.XLOOKUP(Pályák!A59,Mars!A:A,Mars!G:G)</f>
        <v>-10</v>
      </c>
      <c r="G59" s="12" t="str">
        <f>_xlfn.XLOOKUP(Pályák!A59,Mars!A:A,Mars!E:E)&amp;""&amp;_xlfn.XLOOKUP(Pályák!A59,Mars!A:A,Mars!H:H)</f>
        <v>-15,6</v>
      </c>
    </row>
    <row r="60" spans="1:7" x14ac:dyDescent="0.25">
      <c r="A60" s="3">
        <v>44619</v>
      </c>
      <c r="B60" s="12">
        <f>_xlfn.XLOOKUP(Pályák!A60,Mars!A:A,Mars!B:B)</f>
        <v>19</v>
      </c>
      <c r="C60" s="12">
        <f>_xlfn.XLOOKUP(Pályák!A60,Mars!A:A,Mars!C:C)</f>
        <v>45</v>
      </c>
      <c r="D60" s="12">
        <f>_xlfn.XLOOKUP(Pályák!A60,Mars!A:A,Mars!D:D)</f>
        <v>21.58</v>
      </c>
      <c r="E60" s="12" t="str">
        <f>_xlfn.XLOOKUP(Pályák!A60,Mars!A:A,Mars!E:E)&amp;""&amp;_xlfn.XLOOKUP(Pályák!A60,Mars!A:A,Mars!F:F)</f>
        <v>-22</v>
      </c>
      <c r="F60" s="12" t="str">
        <f>_xlfn.XLOOKUP(Pályák!A60,Mars!A:A,Mars!E:E)&amp;""&amp;_xlfn.XLOOKUP(Pályák!A60,Mars!A:A,Mars!G:G)</f>
        <v>-3</v>
      </c>
      <c r="G60" s="12" t="str">
        <f>_xlfn.XLOOKUP(Pályák!A60,Mars!A:A,Mars!E:E)&amp;""&amp;_xlfn.XLOOKUP(Pályák!A60,Mars!A:A,Mars!H:H)</f>
        <v>-14,2</v>
      </c>
    </row>
    <row r="61" spans="1:7" x14ac:dyDescent="0.25">
      <c r="A61" s="3">
        <v>44620</v>
      </c>
      <c r="B61" s="12">
        <f>_xlfn.XLOOKUP(Pályák!A61,Mars!A:A,Mars!B:B)</f>
        <v>19</v>
      </c>
      <c r="C61" s="12">
        <f>_xlfn.XLOOKUP(Pályák!A61,Mars!A:A,Mars!C:C)</f>
        <v>48</v>
      </c>
      <c r="D61" s="12">
        <f>_xlfn.XLOOKUP(Pályák!A61,Mars!A:A,Mars!D:D)</f>
        <v>31.52</v>
      </c>
      <c r="E61" s="12" t="str">
        <f>_xlfn.XLOOKUP(Pályák!A61,Mars!A:A,Mars!E:E)&amp;""&amp;_xlfn.XLOOKUP(Pályák!A61,Mars!A:A,Mars!F:F)</f>
        <v>-21</v>
      </c>
      <c r="F61" s="12" t="str">
        <f>_xlfn.XLOOKUP(Pályák!A61,Mars!A:A,Mars!E:E)&amp;""&amp;_xlfn.XLOOKUP(Pályák!A61,Mars!A:A,Mars!G:G)</f>
        <v>-55</v>
      </c>
      <c r="G61" s="12" t="str">
        <f>_xlfn.XLOOKUP(Pályák!A61,Mars!A:A,Mars!E:E)&amp;""&amp;_xlfn.XLOOKUP(Pályák!A61,Mars!A:A,Mars!H:H)</f>
        <v>-59,3</v>
      </c>
    </row>
    <row r="62" spans="1:7" x14ac:dyDescent="0.25">
      <c r="A62" s="3">
        <v>44621</v>
      </c>
      <c r="B62" s="12" t="e">
        <f>_xlfn.XLOOKUP(Pályák!A62,Mars!A:A,Mars!B:B)</f>
        <v>#N/A</v>
      </c>
      <c r="C62" s="12" t="e">
        <f>_xlfn.XLOOKUP(Pályák!A62,Mars!A:A,Mars!C:C)</f>
        <v>#N/A</v>
      </c>
      <c r="D62" s="12" t="e">
        <f>_xlfn.XLOOKUP(Pályák!A62,Mars!A:A,Mars!D:D)</f>
        <v>#N/A</v>
      </c>
      <c r="E62" s="12" t="e">
        <f>_xlfn.XLOOKUP(Pályák!A62,Mars!A:A,Mars!E:E)&amp;""&amp;_xlfn.XLOOKUP(Pályák!A62,Mars!A:A,Mars!F:F)</f>
        <v>#N/A</v>
      </c>
      <c r="F62" s="12" t="e">
        <f>_xlfn.XLOOKUP(Pályák!A62,Mars!A:A,Mars!E:E)&amp;""&amp;_xlfn.XLOOKUP(Pályák!A62,Mars!A:A,Mars!G:G)</f>
        <v>#N/A</v>
      </c>
      <c r="G62" s="12" t="e">
        <f>_xlfn.XLOOKUP(Pályák!A62,Mars!A:A,Mars!E:E)&amp;""&amp;_xlfn.XLOOKUP(Pályák!A62,Mars!A:A,Mars!H:H)</f>
        <v>#N/A</v>
      </c>
    </row>
    <row r="63" spans="1:7" x14ac:dyDescent="0.25">
      <c r="A63" s="3">
        <v>44622</v>
      </c>
      <c r="B63" s="12" t="e">
        <f>_xlfn.XLOOKUP(Pályák!A63,Mars!A:A,Mars!B:B)</f>
        <v>#N/A</v>
      </c>
      <c r="C63" s="12" t="e">
        <f>_xlfn.XLOOKUP(Pályák!A63,Mars!A:A,Mars!C:C)</f>
        <v>#N/A</v>
      </c>
      <c r="D63" s="12" t="e">
        <f>_xlfn.XLOOKUP(Pályák!A63,Mars!A:A,Mars!D:D)</f>
        <v>#N/A</v>
      </c>
      <c r="E63" s="12" t="e">
        <f>_xlfn.XLOOKUP(Pályák!A63,Mars!A:A,Mars!E:E)&amp;""&amp;_xlfn.XLOOKUP(Pályák!A63,Mars!A:A,Mars!F:F)</f>
        <v>#N/A</v>
      </c>
      <c r="F63" s="12" t="e">
        <f>_xlfn.XLOOKUP(Pályák!A63,Mars!A:A,Mars!E:E)&amp;""&amp;_xlfn.XLOOKUP(Pályák!A63,Mars!A:A,Mars!G:G)</f>
        <v>#N/A</v>
      </c>
      <c r="G63" s="12" t="e">
        <f>_xlfn.XLOOKUP(Pályák!A63,Mars!A:A,Mars!E:E)&amp;""&amp;_xlfn.XLOOKUP(Pályák!A63,Mars!A:A,Mars!H:H)</f>
        <v>#N/A</v>
      </c>
    </row>
    <row r="64" spans="1:7" x14ac:dyDescent="0.25">
      <c r="A64" s="3">
        <v>44623</v>
      </c>
      <c r="B64" s="12" t="e">
        <f>_xlfn.XLOOKUP(Pályák!A64,Mars!A:A,Mars!B:B)</f>
        <v>#N/A</v>
      </c>
      <c r="C64" s="12" t="e">
        <f>_xlfn.XLOOKUP(Pályák!A64,Mars!A:A,Mars!C:C)</f>
        <v>#N/A</v>
      </c>
      <c r="D64" s="12" t="e">
        <f>_xlfn.XLOOKUP(Pályák!A64,Mars!A:A,Mars!D:D)</f>
        <v>#N/A</v>
      </c>
      <c r="E64" s="12" t="e">
        <f>_xlfn.XLOOKUP(Pályák!A64,Mars!A:A,Mars!E:E)&amp;""&amp;_xlfn.XLOOKUP(Pályák!A64,Mars!A:A,Mars!F:F)</f>
        <v>#N/A</v>
      </c>
      <c r="F64" s="12" t="e">
        <f>_xlfn.XLOOKUP(Pályák!A64,Mars!A:A,Mars!E:E)&amp;""&amp;_xlfn.XLOOKUP(Pályák!A64,Mars!A:A,Mars!G:G)</f>
        <v>#N/A</v>
      </c>
      <c r="G64" s="12" t="e">
        <f>_xlfn.XLOOKUP(Pályák!A64,Mars!A:A,Mars!E:E)&amp;""&amp;_xlfn.XLOOKUP(Pályák!A64,Mars!A:A,Mars!H:H)</f>
        <v>#N/A</v>
      </c>
    </row>
    <row r="65" spans="1:7" x14ac:dyDescent="0.25">
      <c r="A65" s="3">
        <v>44624</v>
      </c>
      <c r="B65" s="12" t="e">
        <f>_xlfn.XLOOKUP(Pályák!A65,Mars!A:A,Mars!B:B)</f>
        <v>#N/A</v>
      </c>
      <c r="C65" s="12" t="e">
        <f>_xlfn.XLOOKUP(Pályák!A65,Mars!A:A,Mars!C:C)</f>
        <v>#N/A</v>
      </c>
      <c r="D65" s="12" t="e">
        <f>_xlfn.XLOOKUP(Pályák!A65,Mars!A:A,Mars!D:D)</f>
        <v>#N/A</v>
      </c>
      <c r="E65" s="12" t="e">
        <f>_xlfn.XLOOKUP(Pályák!A65,Mars!A:A,Mars!E:E)&amp;""&amp;_xlfn.XLOOKUP(Pályák!A65,Mars!A:A,Mars!F:F)</f>
        <v>#N/A</v>
      </c>
      <c r="F65" s="12" t="e">
        <f>_xlfn.XLOOKUP(Pályák!A65,Mars!A:A,Mars!E:E)&amp;""&amp;_xlfn.XLOOKUP(Pályák!A65,Mars!A:A,Mars!G:G)</f>
        <v>#N/A</v>
      </c>
      <c r="G65" s="12" t="e">
        <f>_xlfn.XLOOKUP(Pályák!A65,Mars!A:A,Mars!E:E)&amp;""&amp;_xlfn.XLOOKUP(Pályák!A65,Mars!A:A,Mars!H:H)</f>
        <v>#N/A</v>
      </c>
    </row>
    <row r="66" spans="1:7" x14ac:dyDescent="0.25">
      <c r="A66" s="3">
        <v>44625</v>
      </c>
      <c r="B66" s="12" t="e">
        <f>_xlfn.XLOOKUP(Pályák!A66,Mars!A:A,Mars!B:B)</f>
        <v>#N/A</v>
      </c>
      <c r="C66" s="12" t="e">
        <f>_xlfn.XLOOKUP(Pályák!A66,Mars!A:A,Mars!C:C)</f>
        <v>#N/A</v>
      </c>
      <c r="D66" s="12" t="e">
        <f>_xlfn.XLOOKUP(Pályák!A66,Mars!A:A,Mars!D:D)</f>
        <v>#N/A</v>
      </c>
      <c r="E66" s="12" t="e">
        <f>_xlfn.XLOOKUP(Pályák!A66,Mars!A:A,Mars!E:E)&amp;""&amp;_xlfn.XLOOKUP(Pályák!A66,Mars!A:A,Mars!F:F)</f>
        <v>#N/A</v>
      </c>
      <c r="F66" s="12" t="e">
        <f>_xlfn.XLOOKUP(Pályák!A66,Mars!A:A,Mars!E:E)&amp;""&amp;_xlfn.XLOOKUP(Pályák!A66,Mars!A:A,Mars!G:G)</f>
        <v>#N/A</v>
      </c>
      <c r="G66" s="12" t="e">
        <f>_xlfn.XLOOKUP(Pályák!A66,Mars!A:A,Mars!E:E)&amp;""&amp;_xlfn.XLOOKUP(Pályák!A66,Mars!A:A,Mars!H:H)</f>
        <v>#N/A</v>
      </c>
    </row>
    <row r="67" spans="1:7" x14ac:dyDescent="0.25">
      <c r="A67" s="3">
        <v>44626</v>
      </c>
      <c r="B67" s="12" t="e">
        <f>_xlfn.XLOOKUP(Pályák!A67,Mars!A:A,Mars!B:B)</f>
        <v>#N/A</v>
      </c>
      <c r="C67" s="12" t="e">
        <f>_xlfn.XLOOKUP(Pályák!A67,Mars!A:A,Mars!C:C)</f>
        <v>#N/A</v>
      </c>
      <c r="D67" s="12" t="e">
        <f>_xlfn.XLOOKUP(Pályák!A67,Mars!A:A,Mars!D:D)</f>
        <v>#N/A</v>
      </c>
      <c r="E67" s="12" t="e">
        <f>_xlfn.XLOOKUP(Pályák!A67,Mars!A:A,Mars!E:E)&amp;""&amp;_xlfn.XLOOKUP(Pályák!A67,Mars!A:A,Mars!F:F)</f>
        <v>#N/A</v>
      </c>
      <c r="F67" s="12" t="e">
        <f>_xlfn.XLOOKUP(Pályák!A67,Mars!A:A,Mars!E:E)&amp;""&amp;_xlfn.XLOOKUP(Pályák!A67,Mars!A:A,Mars!G:G)</f>
        <v>#N/A</v>
      </c>
      <c r="G67" s="12" t="e">
        <f>_xlfn.XLOOKUP(Pályák!A67,Mars!A:A,Mars!E:E)&amp;""&amp;_xlfn.XLOOKUP(Pályák!A67,Mars!A:A,Mars!H:H)</f>
        <v>#N/A</v>
      </c>
    </row>
    <row r="68" spans="1:7" x14ac:dyDescent="0.25">
      <c r="A68" s="3">
        <v>44627</v>
      </c>
      <c r="B68" s="12" t="e">
        <f>_xlfn.XLOOKUP(Pályák!A68,Mars!A:A,Mars!B:B)</f>
        <v>#N/A</v>
      </c>
      <c r="C68" s="12" t="e">
        <f>_xlfn.XLOOKUP(Pályák!A68,Mars!A:A,Mars!C:C)</f>
        <v>#N/A</v>
      </c>
      <c r="D68" s="12" t="e">
        <f>_xlfn.XLOOKUP(Pályák!A68,Mars!A:A,Mars!D:D)</f>
        <v>#N/A</v>
      </c>
      <c r="E68" s="12" t="e">
        <f>_xlfn.XLOOKUP(Pályák!A68,Mars!A:A,Mars!E:E)&amp;""&amp;_xlfn.XLOOKUP(Pályák!A68,Mars!A:A,Mars!F:F)</f>
        <v>#N/A</v>
      </c>
      <c r="F68" s="12" t="e">
        <f>_xlfn.XLOOKUP(Pályák!A68,Mars!A:A,Mars!E:E)&amp;""&amp;_xlfn.XLOOKUP(Pályák!A68,Mars!A:A,Mars!G:G)</f>
        <v>#N/A</v>
      </c>
      <c r="G68" s="12" t="e">
        <f>_xlfn.XLOOKUP(Pályák!A68,Mars!A:A,Mars!E:E)&amp;""&amp;_xlfn.XLOOKUP(Pályák!A68,Mars!A:A,Mars!H:H)</f>
        <v>#N/A</v>
      </c>
    </row>
    <row r="69" spans="1:7" x14ac:dyDescent="0.25">
      <c r="A69" s="3">
        <v>44628</v>
      </c>
      <c r="B69" s="12" t="e">
        <f>_xlfn.XLOOKUP(Pályák!A69,Mars!A:A,Mars!B:B)</f>
        <v>#N/A</v>
      </c>
      <c r="C69" s="12" t="e">
        <f>_xlfn.XLOOKUP(Pályák!A69,Mars!A:A,Mars!C:C)</f>
        <v>#N/A</v>
      </c>
      <c r="D69" s="12" t="e">
        <f>_xlfn.XLOOKUP(Pályák!A69,Mars!A:A,Mars!D:D)</f>
        <v>#N/A</v>
      </c>
      <c r="E69" s="12" t="e">
        <f>_xlfn.XLOOKUP(Pályák!A69,Mars!A:A,Mars!E:E)&amp;""&amp;_xlfn.XLOOKUP(Pályák!A69,Mars!A:A,Mars!F:F)</f>
        <v>#N/A</v>
      </c>
      <c r="F69" s="12" t="e">
        <f>_xlfn.XLOOKUP(Pályák!A69,Mars!A:A,Mars!E:E)&amp;""&amp;_xlfn.XLOOKUP(Pályák!A69,Mars!A:A,Mars!G:G)</f>
        <v>#N/A</v>
      </c>
      <c r="G69" s="12" t="e">
        <f>_xlfn.XLOOKUP(Pályák!A69,Mars!A:A,Mars!E:E)&amp;""&amp;_xlfn.XLOOKUP(Pályák!A69,Mars!A:A,Mars!H:H)</f>
        <v>#N/A</v>
      </c>
    </row>
    <row r="70" spans="1:7" x14ac:dyDescent="0.25">
      <c r="A70" s="3">
        <v>44629</v>
      </c>
      <c r="B70" s="12" t="e">
        <f>_xlfn.XLOOKUP(Pályák!A70,Mars!A:A,Mars!B:B)</f>
        <v>#N/A</v>
      </c>
      <c r="C70" s="12" t="e">
        <f>_xlfn.XLOOKUP(Pályák!A70,Mars!A:A,Mars!C:C)</f>
        <v>#N/A</v>
      </c>
      <c r="D70" s="12" t="e">
        <f>_xlfn.XLOOKUP(Pályák!A70,Mars!A:A,Mars!D:D)</f>
        <v>#N/A</v>
      </c>
      <c r="E70" s="12" t="e">
        <f>_xlfn.XLOOKUP(Pályák!A70,Mars!A:A,Mars!E:E)&amp;""&amp;_xlfn.XLOOKUP(Pályák!A70,Mars!A:A,Mars!F:F)</f>
        <v>#N/A</v>
      </c>
      <c r="F70" s="12" t="e">
        <f>_xlfn.XLOOKUP(Pályák!A70,Mars!A:A,Mars!E:E)&amp;""&amp;_xlfn.XLOOKUP(Pályák!A70,Mars!A:A,Mars!G:G)</f>
        <v>#N/A</v>
      </c>
      <c r="G70" s="12" t="e">
        <f>_xlfn.XLOOKUP(Pályák!A70,Mars!A:A,Mars!E:E)&amp;""&amp;_xlfn.XLOOKUP(Pályák!A70,Mars!A:A,Mars!H:H)</f>
        <v>#N/A</v>
      </c>
    </row>
    <row r="71" spans="1:7" x14ac:dyDescent="0.25">
      <c r="A71" s="3">
        <v>44630</v>
      </c>
      <c r="B71" s="12" t="e">
        <f>_xlfn.XLOOKUP(Pályák!A71,Mars!A:A,Mars!B:B)</f>
        <v>#N/A</v>
      </c>
      <c r="C71" s="12" t="e">
        <f>_xlfn.XLOOKUP(Pályák!A71,Mars!A:A,Mars!C:C)</f>
        <v>#N/A</v>
      </c>
      <c r="D71" s="12" t="e">
        <f>_xlfn.XLOOKUP(Pályák!A71,Mars!A:A,Mars!D:D)</f>
        <v>#N/A</v>
      </c>
      <c r="E71" s="12" t="e">
        <f>_xlfn.XLOOKUP(Pályák!A71,Mars!A:A,Mars!E:E)&amp;""&amp;_xlfn.XLOOKUP(Pályák!A71,Mars!A:A,Mars!F:F)</f>
        <v>#N/A</v>
      </c>
      <c r="F71" s="12" t="e">
        <f>_xlfn.XLOOKUP(Pályák!A71,Mars!A:A,Mars!E:E)&amp;""&amp;_xlfn.XLOOKUP(Pályák!A71,Mars!A:A,Mars!G:G)</f>
        <v>#N/A</v>
      </c>
      <c r="G71" s="12" t="e">
        <f>_xlfn.XLOOKUP(Pályák!A71,Mars!A:A,Mars!E:E)&amp;""&amp;_xlfn.XLOOKUP(Pályák!A71,Mars!A:A,Mars!H:H)</f>
        <v>#N/A</v>
      </c>
    </row>
    <row r="72" spans="1:7" x14ac:dyDescent="0.25">
      <c r="A72" s="3">
        <v>44631</v>
      </c>
      <c r="B72" s="12" t="e">
        <f>_xlfn.XLOOKUP(Pályák!A72,Mars!A:A,Mars!B:B)</f>
        <v>#N/A</v>
      </c>
      <c r="C72" s="12" t="e">
        <f>_xlfn.XLOOKUP(Pályák!A72,Mars!A:A,Mars!C:C)</f>
        <v>#N/A</v>
      </c>
      <c r="D72" s="12" t="e">
        <f>_xlfn.XLOOKUP(Pályák!A72,Mars!A:A,Mars!D:D)</f>
        <v>#N/A</v>
      </c>
      <c r="E72" s="12" t="e">
        <f>_xlfn.XLOOKUP(Pályák!A72,Mars!A:A,Mars!E:E)&amp;""&amp;_xlfn.XLOOKUP(Pályák!A72,Mars!A:A,Mars!F:F)</f>
        <v>#N/A</v>
      </c>
      <c r="F72" s="12" t="e">
        <f>_xlfn.XLOOKUP(Pályák!A72,Mars!A:A,Mars!E:E)&amp;""&amp;_xlfn.XLOOKUP(Pályák!A72,Mars!A:A,Mars!G:G)</f>
        <v>#N/A</v>
      </c>
      <c r="G72" s="12" t="e">
        <f>_xlfn.XLOOKUP(Pályák!A72,Mars!A:A,Mars!E:E)&amp;""&amp;_xlfn.XLOOKUP(Pályák!A72,Mars!A:A,Mars!H:H)</f>
        <v>#N/A</v>
      </c>
    </row>
    <row r="73" spans="1:7" x14ac:dyDescent="0.25">
      <c r="A73" s="3">
        <v>44632</v>
      </c>
      <c r="B73" s="12" t="e">
        <f>_xlfn.XLOOKUP(Pályák!A73,Mars!A:A,Mars!B:B)</f>
        <v>#N/A</v>
      </c>
      <c r="C73" s="12" t="e">
        <f>_xlfn.XLOOKUP(Pályák!A73,Mars!A:A,Mars!C:C)</f>
        <v>#N/A</v>
      </c>
      <c r="D73" s="12" t="e">
        <f>_xlfn.XLOOKUP(Pályák!A73,Mars!A:A,Mars!D:D)</f>
        <v>#N/A</v>
      </c>
      <c r="E73" s="12" t="e">
        <f>_xlfn.XLOOKUP(Pályák!A73,Mars!A:A,Mars!E:E)&amp;""&amp;_xlfn.XLOOKUP(Pályák!A73,Mars!A:A,Mars!F:F)</f>
        <v>#N/A</v>
      </c>
      <c r="F73" s="12" t="e">
        <f>_xlfn.XLOOKUP(Pályák!A73,Mars!A:A,Mars!E:E)&amp;""&amp;_xlfn.XLOOKUP(Pályák!A73,Mars!A:A,Mars!G:G)</f>
        <v>#N/A</v>
      </c>
      <c r="G73" s="12" t="e">
        <f>_xlfn.XLOOKUP(Pályák!A73,Mars!A:A,Mars!E:E)&amp;""&amp;_xlfn.XLOOKUP(Pályák!A73,Mars!A:A,Mars!H:H)</f>
        <v>#N/A</v>
      </c>
    </row>
    <row r="74" spans="1:7" x14ac:dyDescent="0.25">
      <c r="A74" s="3">
        <v>44633</v>
      </c>
      <c r="B74" s="12" t="e">
        <f>_xlfn.XLOOKUP(Pályák!A74,Mars!A:A,Mars!B:B)</f>
        <v>#N/A</v>
      </c>
      <c r="C74" s="12" t="e">
        <f>_xlfn.XLOOKUP(Pályák!A74,Mars!A:A,Mars!C:C)</f>
        <v>#N/A</v>
      </c>
      <c r="D74" s="12" t="e">
        <f>_xlfn.XLOOKUP(Pályák!A74,Mars!A:A,Mars!D:D)</f>
        <v>#N/A</v>
      </c>
      <c r="E74" s="12" t="e">
        <f>_xlfn.XLOOKUP(Pályák!A74,Mars!A:A,Mars!E:E)&amp;""&amp;_xlfn.XLOOKUP(Pályák!A74,Mars!A:A,Mars!F:F)</f>
        <v>#N/A</v>
      </c>
      <c r="F74" s="12" t="e">
        <f>_xlfn.XLOOKUP(Pályák!A74,Mars!A:A,Mars!E:E)&amp;""&amp;_xlfn.XLOOKUP(Pályák!A74,Mars!A:A,Mars!G:G)</f>
        <v>#N/A</v>
      </c>
      <c r="G74" s="12" t="e">
        <f>_xlfn.XLOOKUP(Pályák!A74,Mars!A:A,Mars!E:E)&amp;""&amp;_xlfn.XLOOKUP(Pályák!A74,Mars!A:A,Mars!H:H)</f>
        <v>#N/A</v>
      </c>
    </row>
    <row r="75" spans="1:7" x14ac:dyDescent="0.25">
      <c r="A75" s="3">
        <v>44634</v>
      </c>
      <c r="B75" s="12" t="e">
        <f>_xlfn.XLOOKUP(Pályák!A75,Mars!A:A,Mars!B:B)</f>
        <v>#N/A</v>
      </c>
      <c r="C75" s="12" t="e">
        <f>_xlfn.XLOOKUP(Pályák!A75,Mars!A:A,Mars!C:C)</f>
        <v>#N/A</v>
      </c>
      <c r="D75" s="12" t="e">
        <f>_xlfn.XLOOKUP(Pályák!A75,Mars!A:A,Mars!D:D)</f>
        <v>#N/A</v>
      </c>
      <c r="E75" s="12" t="e">
        <f>_xlfn.XLOOKUP(Pályák!A75,Mars!A:A,Mars!E:E)&amp;""&amp;_xlfn.XLOOKUP(Pályák!A75,Mars!A:A,Mars!F:F)</f>
        <v>#N/A</v>
      </c>
      <c r="F75" s="12" t="e">
        <f>_xlfn.XLOOKUP(Pályák!A75,Mars!A:A,Mars!E:E)&amp;""&amp;_xlfn.XLOOKUP(Pályák!A75,Mars!A:A,Mars!G:G)</f>
        <v>#N/A</v>
      </c>
      <c r="G75" s="12" t="e">
        <f>_xlfn.XLOOKUP(Pályák!A75,Mars!A:A,Mars!E:E)&amp;""&amp;_xlfn.XLOOKUP(Pályák!A75,Mars!A:A,Mars!H:H)</f>
        <v>#N/A</v>
      </c>
    </row>
    <row r="76" spans="1:7" x14ac:dyDescent="0.25">
      <c r="A76" s="3">
        <v>44635</v>
      </c>
      <c r="B76" s="12" t="e">
        <f>_xlfn.XLOOKUP(Pályák!A76,Mars!A:A,Mars!B:B)</f>
        <v>#N/A</v>
      </c>
      <c r="C76" s="12" t="e">
        <f>_xlfn.XLOOKUP(Pályák!A76,Mars!A:A,Mars!C:C)</f>
        <v>#N/A</v>
      </c>
      <c r="D76" s="12" t="e">
        <f>_xlfn.XLOOKUP(Pályák!A76,Mars!A:A,Mars!D:D)</f>
        <v>#N/A</v>
      </c>
      <c r="E76" s="12" t="e">
        <f>_xlfn.XLOOKUP(Pályák!A76,Mars!A:A,Mars!E:E)&amp;""&amp;_xlfn.XLOOKUP(Pályák!A76,Mars!A:A,Mars!F:F)</f>
        <v>#N/A</v>
      </c>
      <c r="F76" s="12" t="e">
        <f>_xlfn.XLOOKUP(Pályák!A76,Mars!A:A,Mars!E:E)&amp;""&amp;_xlfn.XLOOKUP(Pályák!A76,Mars!A:A,Mars!G:G)</f>
        <v>#N/A</v>
      </c>
      <c r="G76" s="12" t="e">
        <f>_xlfn.XLOOKUP(Pályák!A76,Mars!A:A,Mars!E:E)&amp;""&amp;_xlfn.XLOOKUP(Pályák!A76,Mars!A:A,Mars!H:H)</f>
        <v>#N/A</v>
      </c>
    </row>
    <row r="77" spans="1:7" x14ac:dyDescent="0.25">
      <c r="A77" s="3">
        <v>44636</v>
      </c>
      <c r="B77" s="12" t="e">
        <f>_xlfn.XLOOKUP(Pályák!A77,Mars!A:A,Mars!B:B)</f>
        <v>#N/A</v>
      </c>
      <c r="C77" s="12" t="e">
        <f>_xlfn.XLOOKUP(Pályák!A77,Mars!A:A,Mars!C:C)</f>
        <v>#N/A</v>
      </c>
      <c r="D77" s="12" t="e">
        <f>_xlfn.XLOOKUP(Pályák!A77,Mars!A:A,Mars!D:D)</f>
        <v>#N/A</v>
      </c>
      <c r="E77" s="12" t="e">
        <f>_xlfn.XLOOKUP(Pályák!A77,Mars!A:A,Mars!E:E)&amp;""&amp;_xlfn.XLOOKUP(Pályák!A77,Mars!A:A,Mars!F:F)</f>
        <v>#N/A</v>
      </c>
      <c r="F77" s="12" t="e">
        <f>_xlfn.XLOOKUP(Pályák!A77,Mars!A:A,Mars!E:E)&amp;""&amp;_xlfn.XLOOKUP(Pályák!A77,Mars!A:A,Mars!G:G)</f>
        <v>#N/A</v>
      </c>
      <c r="G77" s="12" t="e">
        <f>_xlfn.XLOOKUP(Pályák!A77,Mars!A:A,Mars!E:E)&amp;""&amp;_xlfn.XLOOKUP(Pályák!A77,Mars!A:A,Mars!H:H)</f>
        <v>#N/A</v>
      </c>
    </row>
    <row r="78" spans="1:7" x14ac:dyDescent="0.25">
      <c r="A78" s="3">
        <v>44637</v>
      </c>
      <c r="B78" s="12" t="e">
        <f>_xlfn.XLOOKUP(Pályák!A78,Mars!A:A,Mars!B:B)</f>
        <v>#N/A</v>
      </c>
      <c r="C78" s="12" t="e">
        <f>_xlfn.XLOOKUP(Pályák!A78,Mars!A:A,Mars!C:C)</f>
        <v>#N/A</v>
      </c>
      <c r="D78" s="12" t="e">
        <f>_xlfn.XLOOKUP(Pályák!A78,Mars!A:A,Mars!D:D)</f>
        <v>#N/A</v>
      </c>
      <c r="E78" s="12" t="e">
        <f>_xlfn.XLOOKUP(Pályák!A78,Mars!A:A,Mars!E:E)&amp;""&amp;_xlfn.XLOOKUP(Pályák!A78,Mars!A:A,Mars!F:F)</f>
        <v>#N/A</v>
      </c>
      <c r="F78" s="12" t="e">
        <f>_xlfn.XLOOKUP(Pályák!A78,Mars!A:A,Mars!E:E)&amp;""&amp;_xlfn.XLOOKUP(Pályák!A78,Mars!A:A,Mars!G:G)</f>
        <v>#N/A</v>
      </c>
      <c r="G78" s="12" t="e">
        <f>_xlfn.XLOOKUP(Pályák!A78,Mars!A:A,Mars!E:E)&amp;""&amp;_xlfn.XLOOKUP(Pályák!A78,Mars!A:A,Mars!H:H)</f>
        <v>#N/A</v>
      </c>
    </row>
    <row r="79" spans="1:7" x14ac:dyDescent="0.25">
      <c r="A79" s="3">
        <v>44638</v>
      </c>
      <c r="B79" s="12" t="e">
        <f>_xlfn.XLOOKUP(Pályák!A79,Mars!A:A,Mars!B:B)</f>
        <v>#N/A</v>
      </c>
      <c r="C79" s="12" t="e">
        <f>_xlfn.XLOOKUP(Pályák!A79,Mars!A:A,Mars!C:C)</f>
        <v>#N/A</v>
      </c>
      <c r="D79" s="12" t="e">
        <f>_xlfn.XLOOKUP(Pályák!A79,Mars!A:A,Mars!D:D)</f>
        <v>#N/A</v>
      </c>
      <c r="E79" s="12" t="e">
        <f>_xlfn.XLOOKUP(Pályák!A79,Mars!A:A,Mars!E:E)&amp;""&amp;_xlfn.XLOOKUP(Pályák!A79,Mars!A:A,Mars!F:F)</f>
        <v>#N/A</v>
      </c>
      <c r="F79" s="12" t="e">
        <f>_xlfn.XLOOKUP(Pályák!A79,Mars!A:A,Mars!E:E)&amp;""&amp;_xlfn.XLOOKUP(Pályák!A79,Mars!A:A,Mars!G:G)</f>
        <v>#N/A</v>
      </c>
      <c r="G79" s="12" t="e">
        <f>_xlfn.XLOOKUP(Pályák!A79,Mars!A:A,Mars!E:E)&amp;""&amp;_xlfn.XLOOKUP(Pályák!A79,Mars!A:A,Mars!H:H)</f>
        <v>#N/A</v>
      </c>
    </row>
    <row r="80" spans="1:7" x14ac:dyDescent="0.25">
      <c r="A80" s="3">
        <v>44639</v>
      </c>
      <c r="B80" s="12" t="e">
        <f>_xlfn.XLOOKUP(Pályák!A80,Mars!A:A,Mars!B:B)</f>
        <v>#N/A</v>
      </c>
      <c r="C80" s="12" t="e">
        <f>_xlfn.XLOOKUP(Pályák!A80,Mars!A:A,Mars!C:C)</f>
        <v>#N/A</v>
      </c>
      <c r="D80" s="12" t="e">
        <f>_xlfn.XLOOKUP(Pályák!A80,Mars!A:A,Mars!D:D)</f>
        <v>#N/A</v>
      </c>
      <c r="E80" s="12" t="e">
        <f>_xlfn.XLOOKUP(Pályák!A80,Mars!A:A,Mars!E:E)&amp;""&amp;_xlfn.XLOOKUP(Pályák!A80,Mars!A:A,Mars!F:F)</f>
        <v>#N/A</v>
      </c>
      <c r="F80" s="12" t="e">
        <f>_xlfn.XLOOKUP(Pályák!A80,Mars!A:A,Mars!E:E)&amp;""&amp;_xlfn.XLOOKUP(Pályák!A80,Mars!A:A,Mars!G:G)</f>
        <v>#N/A</v>
      </c>
      <c r="G80" s="12" t="e">
        <f>_xlfn.XLOOKUP(Pályák!A80,Mars!A:A,Mars!E:E)&amp;""&amp;_xlfn.XLOOKUP(Pályák!A80,Mars!A:A,Mars!H:H)</f>
        <v>#N/A</v>
      </c>
    </row>
    <row r="81" spans="1:7" x14ac:dyDescent="0.25">
      <c r="A81" s="3">
        <v>44640</v>
      </c>
      <c r="B81" s="12" t="e">
        <f>_xlfn.XLOOKUP(Pályák!A81,Mars!A:A,Mars!B:B)</f>
        <v>#N/A</v>
      </c>
      <c r="C81" s="12" t="e">
        <f>_xlfn.XLOOKUP(Pályák!A81,Mars!A:A,Mars!C:C)</f>
        <v>#N/A</v>
      </c>
      <c r="D81" s="12" t="e">
        <f>_xlfn.XLOOKUP(Pályák!A81,Mars!A:A,Mars!D:D)</f>
        <v>#N/A</v>
      </c>
      <c r="E81" s="12" t="e">
        <f>_xlfn.XLOOKUP(Pályák!A81,Mars!A:A,Mars!E:E)&amp;""&amp;_xlfn.XLOOKUP(Pályák!A81,Mars!A:A,Mars!F:F)</f>
        <v>#N/A</v>
      </c>
      <c r="F81" s="12" t="e">
        <f>_xlfn.XLOOKUP(Pályák!A81,Mars!A:A,Mars!E:E)&amp;""&amp;_xlfn.XLOOKUP(Pályák!A81,Mars!A:A,Mars!G:G)</f>
        <v>#N/A</v>
      </c>
      <c r="G81" s="12" t="e">
        <f>_xlfn.XLOOKUP(Pályák!A81,Mars!A:A,Mars!E:E)&amp;""&amp;_xlfn.XLOOKUP(Pályák!A81,Mars!A:A,Mars!H:H)</f>
        <v>#N/A</v>
      </c>
    </row>
    <row r="82" spans="1:7" x14ac:dyDescent="0.25">
      <c r="A82" s="3">
        <v>44641</v>
      </c>
      <c r="B82" s="12" t="e">
        <f>_xlfn.XLOOKUP(Pályák!A82,Mars!A:A,Mars!B:B)</f>
        <v>#N/A</v>
      </c>
      <c r="C82" s="12" t="e">
        <f>_xlfn.XLOOKUP(Pályák!A82,Mars!A:A,Mars!C:C)</f>
        <v>#N/A</v>
      </c>
      <c r="D82" s="12" t="e">
        <f>_xlfn.XLOOKUP(Pályák!A82,Mars!A:A,Mars!D:D)</f>
        <v>#N/A</v>
      </c>
      <c r="E82" s="12" t="e">
        <f>_xlfn.XLOOKUP(Pályák!A82,Mars!A:A,Mars!E:E)&amp;""&amp;_xlfn.XLOOKUP(Pályák!A82,Mars!A:A,Mars!F:F)</f>
        <v>#N/A</v>
      </c>
      <c r="F82" s="12" t="e">
        <f>_xlfn.XLOOKUP(Pályák!A82,Mars!A:A,Mars!E:E)&amp;""&amp;_xlfn.XLOOKUP(Pályák!A82,Mars!A:A,Mars!G:G)</f>
        <v>#N/A</v>
      </c>
      <c r="G82" s="12" t="e">
        <f>_xlfn.XLOOKUP(Pályák!A82,Mars!A:A,Mars!E:E)&amp;""&amp;_xlfn.XLOOKUP(Pályák!A82,Mars!A:A,Mars!H:H)</f>
        <v>#N/A</v>
      </c>
    </row>
    <row r="83" spans="1:7" x14ac:dyDescent="0.25">
      <c r="A83" s="3">
        <v>44642</v>
      </c>
      <c r="B83" s="12" t="e">
        <f>_xlfn.XLOOKUP(Pályák!A83,Mars!A:A,Mars!B:B)</f>
        <v>#N/A</v>
      </c>
      <c r="C83" s="12" t="e">
        <f>_xlfn.XLOOKUP(Pályák!A83,Mars!A:A,Mars!C:C)</f>
        <v>#N/A</v>
      </c>
      <c r="D83" s="12" t="e">
        <f>_xlfn.XLOOKUP(Pályák!A83,Mars!A:A,Mars!D:D)</f>
        <v>#N/A</v>
      </c>
      <c r="E83" s="12" t="e">
        <f>_xlfn.XLOOKUP(Pályák!A83,Mars!A:A,Mars!E:E)&amp;""&amp;_xlfn.XLOOKUP(Pályák!A83,Mars!A:A,Mars!F:F)</f>
        <v>#N/A</v>
      </c>
      <c r="F83" s="12" t="e">
        <f>_xlfn.XLOOKUP(Pályák!A83,Mars!A:A,Mars!E:E)&amp;""&amp;_xlfn.XLOOKUP(Pályák!A83,Mars!A:A,Mars!G:G)</f>
        <v>#N/A</v>
      </c>
      <c r="G83" s="12" t="e">
        <f>_xlfn.XLOOKUP(Pályák!A83,Mars!A:A,Mars!E:E)&amp;""&amp;_xlfn.XLOOKUP(Pályák!A83,Mars!A:A,Mars!H:H)</f>
        <v>#N/A</v>
      </c>
    </row>
    <row r="84" spans="1:7" x14ac:dyDescent="0.25">
      <c r="A84" s="3">
        <v>44643</v>
      </c>
      <c r="B84" s="12" t="e">
        <f>_xlfn.XLOOKUP(Pályák!A84,Mars!A:A,Mars!B:B)</f>
        <v>#N/A</v>
      </c>
      <c r="C84" s="12" t="e">
        <f>_xlfn.XLOOKUP(Pályák!A84,Mars!A:A,Mars!C:C)</f>
        <v>#N/A</v>
      </c>
      <c r="D84" s="12" t="e">
        <f>_xlfn.XLOOKUP(Pályák!A84,Mars!A:A,Mars!D:D)</f>
        <v>#N/A</v>
      </c>
      <c r="E84" s="12" t="e">
        <f>_xlfn.XLOOKUP(Pályák!A84,Mars!A:A,Mars!E:E)&amp;""&amp;_xlfn.XLOOKUP(Pályák!A84,Mars!A:A,Mars!F:F)</f>
        <v>#N/A</v>
      </c>
      <c r="F84" s="12" t="e">
        <f>_xlfn.XLOOKUP(Pályák!A84,Mars!A:A,Mars!E:E)&amp;""&amp;_xlfn.XLOOKUP(Pályák!A84,Mars!A:A,Mars!G:G)</f>
        <v>#N/A</v>
      </c>
      <c r="G84" s="12" t="e">
        <f>_xlfn.XLOOKUP(Pályák!A84,Mars!A:A,Mars!E:E)&amp;""&amp;_xlfn.XLOOKUP(Pályák!A84,Mars!A:A,Mars!H:H)</f>
        <v>#N/A</v>
      </c>
    </row>
    <row r="85" spans="1:7" x14ac:dyDescent="0.25">
      <c r="A85" s="3">
        <v>44644</v>
      </c>
      <c r="B85" s="12" t="e">
        <f>_xlfn.XLOOKUP(Pályák!A85,Mars!A:A,Mars!B:B)</f>
        <v>#N/A</v>
      </c>
      <c r="C85" s="12" t="e">
        <f>_xlfn.XLOOKUP(Pályák!A85,Mars!A:A,Mars!C:C)</f>
        <v>#N/A</v>
      </c>
      <c r="D85" s="12" t="e">
        <f>_xlfn.XLOOKUP(Pályák!A85,Mars!A:A,Mars!D:D)</f>
        <v>#N/A</v>
      </c>
      <c r="E85" s="12" t="e">
        <f>_xlfn.XLOOKUP(Pályák!A85,Mars!A:A,Mars!E:E)&amp;""&amp;_xlfn.XLOOKUP(Pályák!A85,Mars!A:A,Mars!F:F)</f>
        <v>#N/A</v>
      </c>
      <c r="F85" s="12" t="e">
        <f>_xlfn.XLOOKUP(Pályák!A85,Mars!A:A,Mars!E:E)&amp;""&amp;_xlfn.XLOOKUP(Pályák!A85,Mars!A:A,Mars!G:G)</f>
        <v>#N/A</v>
      </c>
      <c r="G85" s="12" t="e">
        <f>_xlfn.XLOOKUP(Pályák!A85,Mars!A:A,Mars!E:E)&amp;""&amp;_xlfn.XLOOKUP(Pályák!A85,Mars!A:A,Mars!H:H)</f>
        <v>#N/A</v>
      </c>
    </row>
    <row r="86" spans="1:7" x14ac:dyDescent="0.25">
      <c r="A86" s="3">
        <v>44645</v>
      </c>
      <c r="B86" s="12" t="e">
        <f>_xlfn.XLOOKUP(Pályák!A86,Mars!A:A,Mars!B:B)</f>
        <v>#N/A</v>
      </c>
      <c r="C86" s="12" t="e">
        <f>_xlfn.XLOOKUP(Pályák!A86,Mars!A:A,Mars!C:C)</f>
        <v>#N/A</v>
      </c>
      <c r="D86" s="12" t="e">
        <f>_xlfn.XLOOKUP(Pályák!A86,Mars!A:A,Mars!D:D)</f>
        <v>#N/A</v>
      </c>
      <c r="E86" s="12" t="e">
        <f>_xlfn.XLOOKUP(Pályák!A86,Mars!A:A,Mars!E:E)&amp;""&amp;_xlfn.XLOOKUP(Pályák!A86,Mars!A:A,Mars!F:F)</f>
        <v>#N/A</v>
      </c>
      <c r="F86" s="12" t="e">
        <f>_xlfn.XLOOKUP(Pályák!A86,Mars!A:A,Mars!E:E)&amp;""&amp;_xlfn.XLOOKUP(Pályák!A86,Mars!A:A,Mars!G:G)</f>
        <v>#N/A</v>
      </c>
      <c r="G86" s="12" t="e">
        <f>_xlfn.XLOOKUP(Pályák!A86,Mars!A:A,Mars!E:E)&amp;""&amp;_xlfn.XLOOKUP(Pályák!A86,Mars!A:A,Mars!H:H)</f>
        <v>#N/A</v>
      </c>
    </row>
    <row r="87" spans="1:7" x14ac:dyDescent="0.25">
      <c r="A87" s="3">
        <v>44646</v>
      </c>
      <c r="B87" s="12" t="e">
        <f>_xlfn.XLOOKUP(Pályák!A87,Mars!A:A,Mars!B:B)</f>
        <v>#N/A</v>
      </c>
      <c r="C87" s="12" t="e">
        <f>_xlfn.XLOOKUP(Pályák!A87,Mars!A:A,Mars!C:C)</f>
        <v>#N/A</v>
      </c>
      <c r="D87" s="12" t="e">
        <f>_xlfn.XLOOKUP(Pályák!A87,Mars!A:A,Mars!D:D)</f>
        <v>#N/A</v>
      </c>
      <c r="E87" s="12" t="e">
        <f>_xlfn.XLOOKUP(Pályák!A87,Mars!A:A,Mars!E:E)&amp;""&amp;_xlfn.XLOOKUP(Pályák!A87,Mars!A:A,Mars!F:F)</f>
        <v>#N/A</v>
      </c>
      <c r="F87" s="12" t="e">
        <f>_xlfn.XLOOKUP(Pályák!A87,Mars!A:A,Mars!E:E)&amp;""&amp;_xlfn.XLOOKUP(Pályák!A87,Mars!A:A,Mars!G:G)</f>
        <v>#N/A</v>
      </c>
      <c r="G87" s="12" t="e">
        <f>_xlfn.XLOOKUP(Pályák!A87,Mars!A:A,Mars!E:E)&amp;""&amp;_xlfn.XLOOKUP(Pályák!A87,Mars!A:A,Mars!H:H)</f>
        <v>#N/A</v>
      </c>
    </row>
    <row r="88" spans="1:7" x14ac:dyDescent="0.25">
      <c r="A88" s="3">
        <v>44647</v>
      </c>
      <c r="B88" s="12" t="e">
        <f>_xlfn.XLOOKUP(Pályák!A88,Mars!A:A,Mars!B:B)</f>
        <v>#N/A</v>
      </c>
      <c r="C88" s="12" t="e">
        <f>_xlfn.XLOOKUP(Pályák!A88,Mars!A:A,Mars!C:C)</f>
        <v>#N/A</v>
      </c>
      <c r="D88" s="12" t="e">
        <f>_xlfn.XLOOKUP(Pályák!A88,Mars!A:A,Mars!D:D)</f>
        <v>#N/A</v>
      </c>
      <c r="E88" s="12" t="e">
        <f>_xlfn.XLOOKUP(Pályák!A88,Mars!A:A,Mars!E:E)&amp;""&amp;_xlfn.XLOOKUP(Pályák!A88,Mars!A:A,Mars!F:F)</f>
        <v>#N/A</v>
      </c>
      <c r="F88" s="12" t="e">
        <f>_xlfn.XLOOKUP(Pályák!A88,Mars!A:A,Mars!E:E)&amp;""&amp;_xlfn.XLOOKUP(Pályák!A88,Mars!A:A,Mars!G:G)</f>
        <v>#N/A</v>
      </c>
      <c r="G88" s="12" t="e">
        <f>_xlfn.XLOOKUP(Pályák!A88,Mars!A:A,Mars!E:E)&amp;""&amp;_xlfn.XLOOKUP(Pályák!A88,Mars!A:A,Mars!H:H)</f>
        <v>#N/A</v>
      </c>
    </row>
    <row r="89" spans="1:7" x14ac:dyDescent="0.25">
      <c r="A89" s="3">
        <v>44648</v>
      </c>
      <c r="B89" s="12" t="e">
        <f>_xlfn.XLOOKUP(Pályák!A89,Mars!A:A,Mars!B:B)</f>
        <v>#N/A</v>
      </c>
      <c r="C89" s="12" t="e">
        <f>_xlfn.XLOOKUP(Pályák!A89,Mars!A:A,Mars!C:C)</f>
        <v>#N/A</v>
      </c>
      <c r="D89" s="12" t="e">
        <f>_xlfn.XLOOKUP(Pályák!A89,Mars!A:A,Mars!D:D)</f>
        <v>#N/A</v>
      </c>
      <c r="E89" s="12" t="e">
        <f>_xlfn.XLOOKUP(Pályák!A89,Mars!A:A,Mars!E:E)&amp;""&amp;_xlfn.XLOOKUP(Pályák!A89,Mars!A:A,Mars!F:F)</f>
        <v>#N/A</v>
      </c>
      <c r="F89" s="12" t="e">
        <f>_xlfn.XLOOKUP(Pályák!A89,Mars!A:A,Mars!E:E)&amp;""&amp;_xlfn.XLOOKUP(Pályák!A89,Mars!A:A,Mars!G:G)</f>
        <v>#N/A</v>
      </c>
      <c r="G89" s="12" t="e">
        <f>_xlfn.XLOOKUP(Pályák!A89,Mars!A:A,Mars!E:E)&amp;""&amp;_xlfn.XLOOKUP(Pályák!A89,Mars!A:A,Mars!H:H)</f>
        <v>#N/A</v>
      </c>
    </row>
    <row r="90" spans="1:7" x14ac:dyDescent="0.25">
      <c r="A90" s="3">
        <v>44649</v>
      </c>
      <c r="B90" s="12" t="e">
        <f>_xlfn.XLOOKUP(Pályák!A90,Mars!A:A,Mars!B:B)</f>
        <v>#N/A</v>
      </c>
      <c r="C90" s="12" t="e">
        <f>_xlfn.XLOOKUP(Pályák!A90,Mars!A:A,Mars!C:C)</f>
        <v>#N/A</v>
      </c>
      <c r="D90" s="12" t="e">
        <f>_xlfn.XLOOKUP(Pályák!A90,Mars!A:A,Mars!D:D)</f>
        <v>#N/A</v>
      </c>
      <c r="E90" s="12" t="e">
        <f>_xlfn.XLOOKUP(Pályák!A90,Mars!A:A,Mars!E:E)&amp;""&amp;_xlfn.XLOOKUP(Pályák!A90,Mars!A:A,Mars!F:F)</f>
        <v>#N/A</v>
      </c>
      <c r="F90" s="12" t="e">
        <f>_xlfn.XLOOKUP(Pályák!A90,Mars!A:A,Mars!E:E)&amp;""&amp;_xlfn.XLOOKUP(Pályák!A90,Mars!A:A,Mars!G:G)</f>
        <v>#N/A</v>
      </c>
      <c r="G90" s="12" t="e">
        <f>_xlfn.XLOOKUP(Pályák!A90,Mars!A:A,Mars!E:E)&amp;""&amp;_xlfn.XLOOKUP(Pályák!A90,Mars!A:A,Mars!H:H)</f>
        <v>#N/A</v>
      </c>
    </row>
    <row r="91" spans="1:7" x14ac:dyDescent="0.25">
      <c r="A91" s="3">
        <v>44650</v>
      </c>
      <c r="B91" s="12" t="e">
        <f>_xlfn.XLOOKUP(Pályák!A91,Mars!A:A,Mars!B:B)</f>
        <v>#N/A</v>
      </c>
      <c r="C91" s="12" t="e">
        <f>_xlfn.XLOOKUP(Pályák!A91,Mars!A:A,Mars!C:C)</f>
        <v>#N/A</v>
      </c>
      <c r="D91" s="12" t="e">
        <f>_xlfn.XLOOKUP(Pályák!A91,Mars!A:A,Mars!D:D)</f>
        <v>#N/A</v>
      </c>
      <c r="E91" s="12" t="e">
        <f>_xlfn.XLOOKUP(Pályák!A91,Mars!A:A,Mars!E:E)&amp;""&amp;_xlfn.XLOOKUP(Pályák!A91,Mars!A:A,Mars!F:F)</f>
        <v>#N/A</v>
      </c>
      <c r="F91" s="12" t="e">
        <f>_xlfn.XLOOKUP(Pályák!A91,Mars!A:A,Mars!E:E)&amp;""&amp;_xlfn.XLOOKUP(Pályák!A91,Mars!A:A,Mars!G:G)</f>
        <v>#N/A</v>
      </c>
      <c r="G91" s="12" t="e">
        <f>_xlfn.XLOOKUP(Pályák!A91,Mars!A:A,Mars!E:E)&amp;""&amp;_xlfn.XLOOKUP(Pályák!A91,Mars!A:A,Mars!H:H)</f>
        <v>#N/A</v>
      </c>
    </row>
    <row r="92" spans="1:7" x14ac:dyDescent="0.25">
      <c r="A92" s="3">
        <v>44651</v>
      </c>
      <c r="B92" s="12" t="e">
        <f>_xlfn.XLOOKUP(Pályák!A92,Mars!A:A,Mars!B:B)</f>
        <v>#N/A</v>
      </c>
      <c r="C92" s="12" t="e">
        <f>_xlfn.XLOOKUP(Pályák!A92,Mars!A:A,Mars!C:C)</f>
        <v>#N/A</v>
      </c>
      <c r="D92" s="12" t="e">
        <f>_xlfn.XLOOKUP(Pályák!A92,Mars!A:A,Mars!D:D)</f>
        <v>#N/A</v>
      </c>
      <c r="E92" s="12" t="e">
        <f>_xlfn.XLOOKUP(Pályák!A92,Mars!A:A,Mars!E:E)&amp;""&amp;_xlfn.XLOOKUP(Pályák!A92,Mars!A:A,Mars!F:F)</f>
        <v>#N/A</v>
      </c>
      <c r="F92" s="12" t="e">
        <f>_xlfn.XLOOKUP(Pályák!A92,Mars!A:A,Mars!E:E)&amp;""&amp;_xlfn.XLOOKUP(Pályák!A92,Mars!A:A,Mars!G:G)</f>
        <v>#N/A</v>
      </c>
      <c r="G92" s="12" t="e">
        <f>_xlfn.XLOOKUP(Pályák!A92,Mars!A:A,Mars!E:E)&amp;""&amp;_xlfn.XLOOKUP(Pályák!A92,Mars!A:A,Mars!H:H)</f>
        <v>#N/A</v>
      </c>
    </row>
    <row r="93" spans="1:7" x14ac:dyDescent="0.25">
      <c r="A93" s="3">
        <v>44652</v>
      </c>
      <c r="B93" s="12" t="e">
        <f>_xlfn.XLOOKUP(Pályák!A93,Mars!A:A,Mars!B:B)</f>
        <v>#N/A</v>
      </c>
      <c r="C93" s="12" t="e">
        <f>_xlfn.XLOOKUP(Pályák!A93,Mars!A:A,Mars!C:C)</f>
        <v>#N/A</v>
      </c>
      <c r="D93" s="12" t="e">
        <f>_xlfn.XLOOKUP(Pályák!A93,Mars!A:A,Mars!D:D)</f>
        <v>#N/A</v>
      </c>
      <c r="E93" s="12" t="e">
        <f>_xlfn.XLOOKUP(Pályák!A93,Mars!A:A,Mars!E:E)&amp;""&amp;_xlfn.XLOOKUP(Pályák!A93,Mars!A:A,Mars!F:F)</f>
        <v>#N/A</v>
      </c>
      <c r="F93" s="12" t="e">
        <f>_xlfn.XLOOKUP(Pályák!A93,Mars!A:A,Mars!E:E)&amp;""&amp;_xlfn.XLOOKUP(Pályák!A93,Mars!A:A,Mars!G:G)</f>
        <v>#N/A</v>
      </c>
      <c r="G93" s="12" t="e">
        <f>_xlfn.XLOOKUP(Pályák!A93,Mars!A:A,Mars!E:E)&amp;""&amp;_xlfn.XLOOKUP(Pályák!A93,Mars!A:A,Mars!H:H)</f>
        <v>#N/A</v>
      </c>
    </row>
    <row r="94" spans="1:7" x14ac:dyDescent="0.25">
      <c r="A94" s="3">
        <v>44653</v>
      </c>
      <c r="B94" s="12" t="e">
        <f>_xlfn.XLOOKUP(Pályák!A94,Mars!A:A,Mars!B:B)</f>
        <v>#N/A</v>
      </c>
      <c r="C94" s="12" t="e">
        <f>_xlfn.XLOOKUP(Pályák!A94,Mars!A:A,Mars!C:C)</f>
        <v>#N/A</v>
      </c>
      <c r="D94" s="12" t="e">
        <f>_xlfn.XLOOKUP(Pályák!A94,Mars!A:A,Mars!D:D)</f>
        <v>#N/A</v>
      </c>
      <c r="E94" s="12" t="e">
        <f>_xlfn.XLOOKUP(Pályák!A94,Mars!A:A,Mars!E:E)&amp;""&amp;_xlfn.XLOOKUP(Pályák!A94,Mars!A:A,Mars!F:F)</f>
        <v>#N/A</v>
      </c>
      <c r="F94" s="12" t="e">
        <f>_xlfn.XLOOKUP(Pályák!A94,Mars!A:A,Mars!E:E)&amp;""&amp;_xlfn.XLOOKUP(Pályák!A94,Mars!A:A,Mars!G:G)</f>
        <v>#N/A</v>
      </c>
      <c r="G94" s="12" t="e">
        <f>_xlfn.XLOOKUP(Pályák!A94,Mars!A:A,Mars!E:E)&amp;""&amp;_xlfn.XLOOKUP(Pályák!A94,Mars!A:A,Mars!H:H)</f>
        <v>#N/A</v>
      </c>
    </row>
    <row r="95" spans="1:7" x14ac:dyDescent="0.25">
      <c r="A95" s="3">
        <v>44654</v>
      </c>
      <c r="B95" s="12" t="e">
        <f>_xlfn.XLOOKUP(Pályák!A95,Mars!A:A,Mars!B:B)</f>
        <v>#N/A</v>
      </c>
      <c r="C95" s="12" t="e">
        <f>_xlfn.XLOOKUP(Pályák!A95,Mars!A:A,Mars!C:C)</f>
        <v>#N/A</v>
      </c>
      <c r="D95" s="12" t="e">
        <f>_xlfn.XLOOKUP(Pályák!A95,Mars!A:A,Mars!D:D)</f>
        <v>#N/A</v>
      </c>
      <c r="E95" s="12" t="e">
        <f>_xlfn.XLOOKUP(Pályák!A95,Mars!A:A,Mars!E:E)&amp;""&amp;_xlfn.XLOOKUP(Pályák!A95,Mars!A:A,Mars!F:F)</f>
        <v>#N/A</v>
      </c>
      <c r="F95" s="12" t="e">
        <f>_xlfn.XLOOKUP(Pályák!A95,Mars!A:A,Mars!E:E)&amp;""&amp;_xlfn.XLOOKUP(Pályák!A95,Mars!A:A,Mars!G:G)</f>
        <v>#N/A</v>
      </c>
      <c r="G95" s="12" t="e">
        <f>_xlfn.XLOOKUP(Pályák!A95,Mars!A:A,Mars!E:E)&amp;""&amp;_xlfn.XLOOKUP(Pályák!A95,Mars!A:A,Mars!H:H)</f>
        <v>#N/A</v>
      </c>
    </row>
    <row r="96" spans="1:7" x14ac:dyDescent="0.25">
      <c r="A96" s="3">
        <v>44655</v>
      </c>
      <c r="B96" s="12" t="e">
        <f>_xlfn.XLOOKUP(Pályák!A96,Mars!A:A,Mars!B:B)</f>
        <v>#N/A</v>
      </c>
      <c r="C96" s="12" t="e">
        <f>_xlfn.XLOOKUP(Pályák!A96,Mars!A:A,Mars!C:C)</f>
        <v>#N/A</v>
      </c>
      <c r="D96" s="12" t="e">
        <f>_xlfn.XLOOKUP(Pályák!A96,Mars!A:A,Mars!D:D)</f>
        <v>#N/A</v>
      </c>
      <c r="E96" s="12" t="e">
        <f>_xlfn.XLOOKUP(Pályák!A96,Mars!A:A,Mars!E:E)&amp;""&amp;_xlfn.XLOOKUP(Pályák!A96,Mars!A:A,Mars!F:F)</f>
        <v>#N/A</v>
      </c>
      <c r="F96" s="12" t="e">
        <f>_xlfn.XLOOKUP(Pályák!A96,Mars!A:A,Mars!E:E)&amp;""&amp;_xlfn.XLOOKUP(Pályák!A96,Mars!A:A,Mars!G:G)</f>
        <v>#N/A</v>
      </c>
      <c r="G96" s="12" t="e">
        <f>_xlfn.XLOOKUP(Pályák!A96,Mars!A:A,Mars!E:E)&amp;""&amp;_xlfn.XLOOKUP(Pályák!A96,Mars!A:A,Mars!H:H)</f>
        <v>#N/A</v>
      </c>
    </row>
    <row r="97" spans="1:7" x14ac:dyDescent="0.25">
      <c r="A97" s="3">
        <v>44656</v>
      </c>
      <c r="B97" s="12" t="e">
        <f>_xlfn.XLOOKUP(Pályák!A97,Mars!A:A,Mars!B:B)</f>
        <v>#N/A</v>
      </c>
      <c r="C97" s="12" t="e">
        <f>_xlfn.XLOOKUP(Pályák!A97,Mars!A:A,Mars!C:C)</f>
        <v>#N/A</v>
      </c>
      <c r="D97" s="12" t="e">
        <f>_xlfn.XLOOKUP(Pályák!A97,Mars!A:A,Mars!D:D)</f>
        <v>#N/A</v>
      </c>
      <c r="E97" s="12" t="e">
        <f>_xlfn.XLOOKUP(Pályák!A97,Mars!A:A,Mars!E:E)&amp;""&amp;_xlfn.XLOOKUP(Pályák!A97,Mars!A:A,Mars!F:F)</f>
        <v>#N/A</v>
      </c>
      <c r="F97" s="12" t="e">
        <f>_xlfn.XLOOKUP(Pályák!A97,Mars!A:A,Mars!E:E)&amp;""&amp;_xlfn.XLOOKUP(Pályák!A97,Mars!A:A,Mars!G:G)</f>
        <v>#N/A</v>
      </c>
      <c r="G97" s="12" t="e">
        <f>_xlfn.XLOOKUP(Pályák!A97,Mars!A:A,Mars!E:E)&amp;""&amp;_xlfn.XLOOKUP(Pályák!A97,Mars!A:A,Mars!H:H)</f>
        <v>#N/A</v>
      </c>
    </row>
    <row r="98" spans="1:7" x14ac:dyDescent="0.25">
      <c r="A98" s="3">
        <v>44657</v>
      </c>
      <c r="B98" s="12" t="e">
        <f>_xlfn.XLOOKUP(Pályák!A98,Mars!A:A,Mars!B:B)</f>
        <v>#N/A</v>
      </c>
      <c r="C98" s="12" t="e">
        <f>_xlfn.XLOOKUP(Pályák!A98,Mars!A:A,Mars!C:C)</f>
        <v>#N/A</v>
      </c>
      <c r="D98" s="12" t="e">
        <f>_xlfn.XLOOKUP(Pályák!A98,Mars!A:A,Mars!D:D)</f>
        <v>#N/A</v>
      </c>
      <c r="E98" s="12" t="e">
        <f>_xlfn.XLOOKUP(Pályák!A98,Mars!A:A,Mars!E:E)&amp;""&amp;_xlfn.XLOOKUP(Pályák!A98,Mars!A:A,Mars!F:F)</f>
        <v>#N/A</v>
      </c>
      <c r="F98" s="12" t="e">
        <f>_xlfn.XLOOKUP(Pályák!A98,Mars!A:A,Mars!E:E)&amp;""&amp;_xlfn.XLOOKUP(Pályák!A98,Mars!A:A,Mars!G:G)</f>
        <v>#N/A</v>
      </c>
      <c r="G98" s="12" t="e">
        <f>_xlfn.XLOOKUP(Pályák!A98,Mars!A:A,Mars!E:E)&amp;""&amp;_xlfn.XLOOKUP(Pályák!A98,Mars!A:A,Mars!H:H)</f>
        <v>#N/A</v>
      </c>
    </row>
    <row r="99" spans="1:7" x14ac:dyDescent="0.25">
      <c r="A99" s="3">
        <v>44658</v>
      </c>
      <c r="B99" s="12" t="e">
        <f>_xlfn.XLOOKUP(Pályák!A99,Mars!A:A,Mars!B:B)</f>
        <v>#N/A</v>
      </c>
      <c r="C99" s="12" t="e">
        <f>_xlfn.XLOOKUP(Pályák!A99,Mars!A:A,Mars!C:C)</f>
        <v>#N/A</v>
      </c>
      <c r="D99" s="12" t="e">
        <f>_xlfn.XLOOKUP(Pályák!A99,Mars!A:A,Mars!D:D)</f>
        <v>#N/A</v>
      </c>
      <c r="E99" s="12" t="e">
        <f>_xlfn.XLOOKUP(Pályák!A99,Mars!A:A,Mars!E:E)&amp;""&amp;_xlfn.XLOOKUP(Pályák!A99,Mars!A:A,Mars!F:F)</f>
        <v>#N/A</v>
      </c>
      <c r="F99" s="12" t="e">
        <f>_xlfn.XLOOKUP(Pályák!A99,Mars!A:A,Mars!E:E)&amp;""&amp;_xlfn.XLOOKUP(Pályák!A99,Mars!A:A,Mars!G:G)</f>
        <v>#N/A</v>
      </c>
      <c r="G99" s="12" t="e">
        <f>_xlfn.XLOOKUP(Pályák!A99,Mars!A:A,Mars!E:E)&amp;""&amp;_xlfn.XLOOKUP(Pályák!A99,Mars!A:A,Mars!H:H)</f>
        <v>#N/A</v>
      </c>
    </row>
    <row r="100" spans="1:7" x14ac:dyDescent="0.25">
      <c r="A100" s="3">
        <v>44659</v>
      </c>
      <c r="B100" s="12" t="e">
        <f>_xlfn.XLOOKUP(Pályák!A100,Mars!A:A,Mars!B:B)</f>
        <v>#N/A</v>
      </c>
      <c r="C100" s="12" t="e">
        <f>_xlfn.XLOOKUP(Pályák!A100,Mars!A:A,Mars!C:C)</f>
        <v>#N/A</v>
      </c>
      <c r="D100" s="12" t="e">
        <f>_xlfn.XLOOKUP(Pályák!A100,Mars!A:A,Mars!D:D)</f>
        <v>#N/A</v>
      </c>
      <c r="E100" s="12" t="e">
        <f>_xlfn.XLOOKUP(Pályák!A100,Mars!A:A,Mars!E:E)&amp;""&amp;_xlfn.XLOOKUP(Pályák!A100,Mars!A:A,Mars!F:F)</f>
        <v>#N/A</v>
      </c>
      <c r="F100" s="12" t="e">
        <f>_xlfn.XLOOKUP(Pályák!A100,Mars!A:A,Mars!E:E)&amp;""&amp;_xlfn.XLOOKUP(Pályák!A100,Mars!A:A,Mars!G:G)</f>
        <v>#N/A</v>
      </c>
      <c r="G100" s="12" t="e">
        <f>_xlfn.XLOOKUP(Pályák!A100,Mars!A:A,Mars!E:E)&amp;""&amp;_xlfn.XLOOKUP(Pályák!A100,Mars!A:A,Mars!H:H)</f>
        <v>#N/A</v>
      </c>
    </row>
    <row r="101" spans="1:7" x14ac:dyDescent="0.25">
      <c r="A101" s="3">
        <v>44660</v>
      </c>
      <c r="B101" s="12" t="e">
        <f>_xlfn.XLOOKUP(Pályák!A101,Mars!A:A,Mars!B:B)</f>
        <v>#N/A</v>
      </c>
      <c r="C101" s="12" t="e">
        <f>_xlfn.XLOOKUP(Pályák!A101,Mars!A:A,Mars!C:C)</f>
        <v>#N/A</v>
      </c>
      <c r="D101" s="12" t="e">
        <f>_xlfn.XLOOKUP(Pályák!A101,Mars!A:A,Mars!D:D)</f>
        <v>#N/A</v>
      </c>
      <c r="E101" s="12" t="e">
        <f>_xlfn.XLOOKUP(Pályák!A101,Mars!A:A,Mars!E:E)&amp;""&amp;_xlfn.XLOOKUP(Pályák!A101,Mars!A:A,Mars!F:F)</f>
        <v>#N/A</v>
      </c>
      <c r="F101" s="12" t="e">
        <f>_xlfn.XLOOKUP(Pályák!A101,Mars!A:A,Mars!E:E)&amp;""&amp;_xlfn.XLOOKUP(Pályák!A101,Mars!A:A,Mars!G:G)</f>
        <v>#N/A</v>
      </c>
      <c r="G101" s="12" t="e">
        <f>_xlfn.XLOOKUP(Pályák!A101,Mars!A:A,Mars!E:E)&amp;""&amp;_xlfn.XLOOKUP(Pályák!A101,Mars!A:A,Mars!H:H)</f>
        <v>#N/A</v>
      </c>
    </row>
    <row r="102" spans="1:7" x14ac:dyDescent="0.25">
      <c r="A102" s="3">
        <v>44661</v>
      </c>
      <c r="B102" s="12" t="e">
        <f>_xlfn.XLOOKUP(Pályák!A102,Mars!A:A,Mars!B:B)</f>
        <v>#N/A</v>
      </c>
      <c r="C102" s="12" t="e">
        <f>_xlfn.XLOOKUP(Pályák!A102,Mars!A:A,Mars!C:C)</f>
        <v>#N/A</v>
      </c>
      <c r="D102" s="12" t="e">
        <f>_xlfn.XLOOKUP(Pályák!A102,Mars!A:A,Mars!D:D)</f>
        <v>#N/A</v>
      </c>
      <c r="E102" s="12" t="e">
        <f>_xlfn.XLOOKUP(Pályák!A102,Mars!A:A,Mars!E:E)&amp;""&amp;_xlfn.XLOOKUP(Pályák!A102,Mars!A:A,Mars!F:F)</f>
        <v>#N/A</v>
      </c>
      <c r="F102" s="12" t="e">
        <f>_xlfn.XLOOKUP(Pályák!A102,Mars!A:A,Mars!E:E)&amp;""&amp;_xlfn.XLOOKUP(Pályák!A102,Mars!A:A,Mars!G:G)</f>
        <v>#N/A</v>
      </c>
      <c r="G102" s="12" t="e">
        <f>_xlfn.XLOOKUP(Pályák!A102,Mars!A:A,Mars!E:E)&amp;""&amp;_xlfn.XLOOKUP(Pályák!A102,Mars!A:A,Mars!H:H)</f>
        <v>#N/A</v>
      </c>
    </row>
    <row r="103" spans="1:7" x14ac:dyDescent="0.25">
      <c r="A103" s="3">
        <v>44662</v>
      </c>
      <c r="B103" s="12" t="e">
        <f>_xlfn.XLOOKUP(Pályák!A103,Mars!A:A,Mars!B:B)</f>
        <v>#N/A</v>
      </c>
      <c r="C103" s="12" t="e">
        <f>_xlfn.XLOOKUP(Pályák!A103,Mars!A:A,Mars!C:C)</f>
        <v>#N/A</v>
      </c>
      <c r="D103" s="12" t="e">
        <f>_xlfn.XLOOKUP(Pályák!A103,Mars!A:A,Mars!D:D)</f>
        <v>#N/A</v>
      </c>
      <c r="E103" s="12" t="e">
        <f>_xlfn.XLOOKUP(Pályák!A103,Mars!A:A,Mars!E:E)&amp;""&amp;_xlfn.XLOOKUP(Pályák!A103,Mars!A:A,Mars!F:F)</f>
        <v>#N/A</v>
      </c>
      <c r="F103" s="12" t="e">
        <f>_xlfn.XLOOKUP(Pályák!A103,Mars!A:A,Mars!E:E)&amp;""&amp;_xlfn.XLOOKUP(Pályák!A103,Mars!A:A,Mars!G:G)</f>
        <v>#N/A</v>
      </c>
      <c r="G103" s="12" t="e">
        <f>_xlfn.XLOOKUP(Pályák!A103,Mars!A:A,Mars!E:E)&amp;""&amp;_xlfn.XLOOKUP(Pályák!A103,Mars!A:A,Mars!H:H)</f>
        <v>#N/A</v>
      </c>
    </row>
    <row r="104" spans="1:7" x14ac:dyDescent="0.25">
      <c r="A104" s="3">
        <v>44663</v>
      </c>
      <c r="B104" s="12" t="e">
        <f>_xlfn.XLOOKUP(Pályák!A104,Mars!A:A,Mars!B:B)</f>
        <v>#N/A</v>
      </c>
      <c r="C104" s="12" t="e">
        <f>_xlfn.XLOOKUP(Pályák!A104,Mars!A:A,Mars!C:C)</f>
        <v>#N/A</v>
      </c>
      <c r="D104" s="12" t="e">
        <f>_xlfn.XLOOKUP(Pályák!A104,Mars!A:A,Mars!D:D)</f>
        <v>#N/A</v>
      </c>
      <c r="E104" s="12" t="e">
        <f>_xlfn.XLOOKUP(Pályák!A104,Mars!A:A,Mars!E:E)&amp;""&amp;_xlfn.XLOOKUP(Pályák!A104,Mars!A:A,Mars!F:F)</f>
        <v>#N/A</v>
      </c>
      <c r="F104" s="12" t="e">
        <f>_xlfn.XLOOKUP(Pályák!A104,Mars!A:A,Mars!E:E)&amp;""&amp;_xlfn.XLOOKUP(Pályák!A104,Mars!A:A,Mars!G:G)</f>
        <v>#N/A</v>
      </c>
      <c r="G104" s="12" t="e">
        <f>_xlfn.XLOOKUP(Pályák!A104,Mars!A:A,Mars!E:E)&amp;""&amp;_xlfn.XLOOKUP(Pályák!A104,Mars!A:A,Mars!H:H)</f>
        <v>#N/A</v>
      </c>
    </row>
    <row r="105" spans="1:7" x14ac:dyDescent="0.25">
      <c r="A105" s="3">
        <v>44664</v>
      </c>
      <c r="B105" s="12" t="e">
        <f>_xlfn.XLOOKUP(Pályák!A105,Mars!A:A,Mars!B:B)</f>
        <v>#N/A</v>
      </c>
      <c r="C105" s="12" t="e">
        <f>_xlfn.XLOOKUP(Pályák!A105,Mars!A:A,Mars!C:C)</f>
        <v>#N/A</v>
      </c>
      <c r="D105" s="12" t="e">
        <f>_xlfn.XLOOKUP(Pályák!A105,Mars!A:A,Mars!D:D)</f>
        <v>#N/A</v>
      </c>
      <c r="E105" s="12" t="e">
        <f>_xlfn.XLOOKUP(Pályák!A105,Mars!A:A,Mars!E:E)&amp;""&amp;_xlfn.XLOOKUP(Pályák!A105,Mars!A:A,Mars!F:F)</f>
        <v>#N/A</v>
      </c>
      <c r="F105" s="12" t="e">
        <f>_xlfn.XLOOKUP(Pályák!A105,Mars!A:A,Mars!E:E)&amp;""&amp;_xlfn.XLOOKUP(Pályák!A105,Mars!A:A,Mars!G:G)</f>
        <v>#N/A</v>
      </c>
      <c r="G105" s="12" t="e">
        <f>_xlfn.XLOOKUP(Pályák!A105,Mars!A:A,Mars!E:E)&amp;""&amp;_xlfn.XLOOKUP(Pályák!A105,Mars!A:A,Mars!H:H)</f>
        <v>#N/A</v>
      </c>
    </row>
    <row r="106" spans="1:7" x14ac:dyDescent="0.25">
      <c r="A106" s="3">
        <v>44665</v>
      </c>
      <c r="B106" s="12" t="e">
        <f>_xlfn.XLOOKUP(Pályák!A106,Mars!A:A,Mars!B:B)</f>
        <v>#N/A</v>
      </c>
      <c r="C106" s="12" t="e">
        <f>_xlfn.XLOOKUP(Pályák!A106,Mars!A:A,Mars!C:C)</f>
        <v>#N/A</v>
      </c>
      <c r="D106" s="12" t="e">
        <f>_xlfn.XLOOKUP(Pályák!A106,Mars!A:A,Mars!D:D)</f>
        <v>#N/A</v>
      </c>
      <c r="E106" s="12" t="e">
        <f>_xlfn.XLOOKUP(Pályák!A106,Mars!A:A,Mars!E:E)&amp;""&amp;_xlfn.XLOOKUP(Pályák!A106,Mars!A:A,Mars!F:F)</f>
        <v>#N/A</v>
      </c>
      <c r="F106" s="12" t="e">
        <f>_xlfn.XLOOKUP(Pályák!A106,Mars!A:A,Mars!E:E)&amp;""&amp;_xlfn.XLOOKUP(Pályák!A106,Mars!A:A,Mars!G:G)</f>
        <v>#N/A</v>
      </c>
      <c r="G106" s="12" t="e">
        <f>_xlfn.XLOOKUP(Pályák!A106,Mars!A:A,Mars!E:E)&amp;""&amp;_xlfn.XLOOKUP(Pályák!A106,Mars!A:A,Mars!H:H)</f>
        <v>#N/A</v>
      </c>
    </row>
    <row r="107" spans="1:7" x14ac:dyDescent="0.25">
      <c r="A107" s="3">
        <v>44666</v>
      </c>
      <c r="B107" s="12" t="e">
        <f>_xlfn.XLOOKUP(Pályák!A107,Mars!A:A,Mars!B:B)</f>
        <v>#N/A</v>
      </c>
      <c r="C107" s="12" t="e">
        <f>_xlfn.XLOOKUP(Pályák!A107,Mars!A:A,Mars!C:C)</f>
        <v>#N/A</v>
      </c>
      <c r="D107" s="12" t="e">
        <f>_xlfn.XLOOKUP(Pályák!A107,Mars!A:A,Mars!D:D)</f>
        <v>#N/A</v>
      </c>
      <c r="E107" s="12" t="e">
        <f>_xlfn.XLOOKUP(Pályák!A107,Mars!A:A,Mars!E:E)&amp;""&amp;_xlfn.XLOOKUP(Pályák!A107,Mars!A:A,Mars!F:F)</f>
        <v>#N/A</v>
      </c>
      <c r="F107" s="12" t="e">
        <f>_xlfn.XLOOKUP(Pályák!A107,Mars!A:A,Mars!E:E)&amp;""&amp;_xlfn.XLOOKUP(Pályák!A107,Mars!A:A,Mars!G:G)</f>
        <v>#N/A</v>
      </c>
      <c r="G107" s="12" t="e">
        <f>_xlfn.XLOOKUP(Pályák!A107,Mars!A:A,Mars!E:E)&amp;""&amp;_xlfn.XLOOKUP(Pályák!A107,Mars!A:A,Mars!H:H)</f>
        <v>#N/A</v>
      </c>
    </row>
    <row r="108" spans="1:7" x14ac:dyDescent="0.25">
      <c r="A108" s="3">
        <v>44667</v>
      </c>
      <c r="B108" s="12" t="e">
        <f>_xlfn.XLOOKUP(Pályák!A108,Mars!A:A,Mars!B:B)</f>
        <v>#N/A</v>
      </c>
      <c r="C108" s="12" t="e">
        <f>_xlfn.XLOOKUP(Pályák!A108,Mars!A:A,Mars!C:C)</f>
        <v>#N/A</v>
      </c>
      <c r="D108" s="12" t="e">
        <f>_xlfn.XLOOKUP(Pályák!A108,Mars!A:A,Mars!D:D)</f>
        <v>#N/A</v>
      </c>
      <c r="E108" s="12" t="e">
        <f>_xlfn.XLOOKUP(Pályák!A108,Mars!A:A,Mars!E:E)&amp;""&amp;_xlfn.XLOOKUP(Pályák!A108,Mars!A:A,Mars!F:F)</f>
        <v>#N/A</v>
      </c>
      <c r="F108" s="12" t="e">
        <f>_xlfn.XLOOKUP(Pályák!A108,Mars!A:A,Mars!E:E)&amp;""&amp;_xlfn.XLOOKUP(Pályák!A108,Mars!A:A,Mars!G:G)</f>
        <v>#N/A</v>
      </c>
      <c r="G108" s="12" t="e">
        <f>_xlfn.XLOOKUP(Pályák!A108,Mars!A:A,Mars!E:E)&amp;""&amp;_xlfn.XLOOKUP(Pályák!A108,Mars!A:A,Mars!H:H)</f>
        <v>#N/A</v>
      </c>
    </row>
    <row r="109" spans="1:7" x14ac:dyDescent="0.25">
      <c r="A109" s="3">
        <v>44668</v>
      </c>
      <c r="B109" s="12" t="e">
        <f>_xlfn.XLOOKUP(Pályák!A109,Mars!A:A,Mars!B:B)</f>
        <v>#N/A</v>
      </c>
      <c r="C109" s="12" t="e">
        <f>_xlfn.XLOOKUP(Pályák!A109,Mars!A:A,Mars!C:C)</f>
        <v>#N/A</v>
      </c>
      <c r="D109" s="12" t="e">
        <f>_xlfn.XLOOKUP(Pályák!A109,Mars!A:A,Mars!D:D)</f>
        <v>#N/A</v>
      </c>
      <c r="E109" s="12" t="e">
        <f>_xlfn.XLOOKUP(Pályák!A109,Mars!A:A,Mars!E:E)&amp;""&amp;_xlfn.XLOOKUP(Pályák!A109,Mars!A:A,Mars!F:F)</f>
        <v>#N/A</v>
      </c>
      <c r="F109" s="12" t="e">
        <f>_xlfn.XLOOKUP(Pályák!A109,Mars!A:A,Mars!E:E)&amp;""&amp;_xlfn.XLOOKUP(Pályák!A109,Mars!A:A,Mars!G:G)</f>
        <v>#N/A</v>
      </c>
      <c r="G109" s="12" t="e">
        <f>_xlfn.XLOOKUP(Pályák!A109,Mars!A:A,Mars!E:E)&amp;""&amp;_xlfn.XLOOKUP(Pályák!A109,Mars!A:A,Mars!H:H)</f>
        <v>#N/A</v>
      </c>
    </row>
    <row r="110" spans="1:7" x14ac:dyDescent="0.25">
      <c r="A110" s="3">
        <v>44669</v>
      </c>
      <c r="B110" s="12" t="e">
        <f>_xlfn.XLOOKUP(Pályák!A110,Mars!A:A,Mars!B:B)</f>
        <v>#N/A</v>
      </c>
      <c r="C110" s="12" t="e">
        <f>_xlfn.XLOOKUP(Pályák!A110,Mars!A:A,Mars!C:C)</f>
        <v>#N/A</v>
      </c>
      <c r="D110" s="12" t="e">
        <f>_xlfn.XLOOKUP(Pályák!A110,Mars!A:A,Mars!D:D)</f>
        <v>#N/A</v>
      </c>
      <c r="E110" s="12" t="e">
        <f>_xlfn.XLOOKUP(Pályák!A110,Mars!A:A,Mars!E:E)&amp;""&amp;_xlfn.XLOOKUP(Pályák!A110,Mars!A:A,Mars!F:F)</f>
        <v>#N/A</v>
      </c>
      <c r="F110" s="12" t="e">
        <f>_xlfn.XLOOKUP(Pályák!A110,Mars!A:A,Mars!E:E)&amp;""&amp;_xlfn.XLOOKUP(Pályák!A110,Mars!A:A,Mars!G:G)</f>
        <v>#N/A</v>
      </c>
      <c r="G110" s="12" t="e">
        <f>_xlfn.XLOOKUP(Pályák!A110,Mars!A:A,Mars!E:E)&amp;""&amp;_xlfn.XLOOKUP(Pályák!A110,Mars!A:A,Mars!H:H)</f>
        <v>#N/A</v>
      </c>
    </row>
    <row r="111" spans="1:7" x14ac:dyDescent="0.25">
      <c r="A111" s="3">
        <v>44670</v>
      </c>
      <c r="B111" s="12" t="e">
        <f>_xlfn.XLOOKUP(Pályák!A111,Mars!A:A,Mars!B:B)</f>
        <v>#N/A</v>
      </c>
      <c r="C111" s="12" t="e">
        <f>_xlfn.XLOOKUP(Pályák!A111,Mars!A:A,Mars!C:C)</f>
        <v>#N/A</v>
      </c>
      <c r="D111" s="12" t="e">
        <f>_xlfn.XLOOKUP(Pályák!A111,Mars!A:A,Mars!D:D)</f>
        <v>#N/A</v>
      </c>
      <c r="E111" s="12" t="e">
        <f>_xlfn.XLOOKUP(Pályák!A111,Mars!A:A,Mars!E:E)&amp;""&amp;_xlfn.XLOOKUP(Pályák!A111,Mars!A:A,Mars!F:F)</f>
        <v>#N/A</v>
      </c>
      <c r="F111" s="12" t="e">
        <f>_xlfn.XLOOKUP(Pályák!A111,Mars!A:A,Mars!E:E)&amp;""&amp;_xlfn.XLOOKUP(Pályák!A111,Mars!A:A,Mars!G:G)</f>
        <v>#N/A</v>
      </c>
      <c r="G111" s="12" t="e">
        <f>_xlfn.XLOOKUP(Pályák!A111,Mars!A:A,Mars!E:E)&amp;""&amp;_xlfn.XLOOKUP(Pályák!A111,Mars!A:A,Mars!H:H)</f>
        <v>#N/A</v>
      </c>
    </row>
    <row r="112" spans="1:7" x14ac:dyDescent="0.25">
      <c r="A112" s="3">
        <v>44671</v>
      </c>
      <c r="B112" s="12" t="e">
        <f>_xlfn.XLOOKUP(Pályák!A112,Mars!A:A,Mars!B:B)</f>
        <v>#N/A</v>
      </c>
      <c r="C112" s="12" t="e">
        <f>_xlfn.XLOOKUP(Pályák!A112,Mars!A:A,Mars!C:C)</f>
        <v>#N/A</v>
      </c>
      <c r="D112" s="12" t="e">
        <f>_xlfn.XLOOKUP(Pályák!A112,Mars!A:A,Mars!D:D)</f>
        <v>#N/A</v>
      </c>
      <c r="E112" s="12" t="e">
        <f>_xlfn.XLOOKUP(Pályák!A112,Mars!A:A,Mars!E:E)&amp;""&amp;_xlfn.XLOOKUP(Pályák!A112,Mars!A:A,Mars!F:F)</f>
        <v>#N/A</v>
      </c>
      <c r="F112" s="12" t="e">
        <f>_xlfn.XLOOKUP(Pályák!A112,Mars!A:A,Mars!E:E)&amp;""&amp;_xlfn.XLOOKUP(Pályák!A112,Mars!A:A,Mars!G:G)</f>
        <v>#N/A</v>
      </c>
      <c r="G112" s="12" t="e">
        <f>_xlfn.XLOOKUP(Pályák!A112,Mars!A:A,Mars!E:E)&amp;""&amp;_xlfn.XLOOKUP(Pályák!A112,Mars!A:A,Mars!H:H)</f>
        <v>#N/A</v>
      </c>
    </row>
    <row r="113" spans="1:7" x14ac:dyDescent="0.25">
      <c r="A113" s="3">
        <v>44672</v>
      </c>
      <c r="B113" s="12" t="e">
        <f>_xlfn.XLOOKUP(Pályák!A113,Mars!A:A,Mars!B:B)</f>
        <v>#N/A</v>
      </c>
      <c r="C113" s="12" t="e">
        <f>_xlfn.XLOOKUP(Pályák!A113,Mars!A:A,Mars!C:C)</f>
        <v>#N/A</v>
      </c>
      <c r="D113" s="12" t="e">
        <f>_xlfn.XLOOKUP(Pályák!A113,Mars!A:A,Mars!D:D)</f>
        <v>#N/A</v>
      </c>
      <c r="E113" s="12" t="e">
        <f>_xlfn.XLOOKUP(Pályák!A113,Mars!A:A,Mars!E:E)&amp;""&amp;_xlfn.XLOOKUP(Pályák!A113,Mars!A:A,Mars!F:F)</f>
        <v>#N/A</v>
      </c>
      <c r="F113" s="12" t="e">
        <f>_xlfn.XLOOKUP(Pályák!A113,Mars!A:A,Mars!E:E)&amp;""&amp;_xlfn.XLOOKUP(Pályák!A113,Mars!A:A,Mars!G:G)</f>
        <v>#N/A</v>
      </c>
      <c r="G113" s="12" t="e">
        <f>_xlfn.XLOOKUP(Pályák!A113,Mars!A:A,Mars!E:E)&amp;""&amp;_xlfn.XLOOKUP(Pályák!A113,Mars!A:A,Mars!H:H)</f>
        <v>#N/A</v>
      </c>
    </row>
    <row r="114" spans="1:7" x14ac:dyDescent="0.25">
      <c r="A114" s="3">
        <v>44673</v>
      </c>
      <c r="B114" s="12" t="e">
        <f>_xlfn.XLOOKUP(Pályák!A114,Mars!A:A,Mars!B:B)</f>
        <v>#N/A</v>
      </c>
      <c r="C114" s="12" t="e">
        <f>_xlfn.XLOOKUP(Pályák!A114,Mars!A:A,Mars!C:C)</f>
        <v>#N/A</v>
      </c>
      <c r="D114" s="12" t="e">
        <f>_xlfn.XLOOKUP(Pályák!A114,Mars!A:A,Mars!D:D)</f>
        <v>#N/A</v>
      </c>
      <c r="E114" s="12" t="e">
        <f>_xlfn.XLOOKUP(Pályák!A114,Mars!A:A,Mars!E:E)&amp;""&amp;_xlfn.XLOOKUP(Pályák!A114,Mars!A:A,Mars!F:F)</f>
        <v>#N/A</v>
      </c>
      <c r="F114" s="12" t="e">
        <f>_xlfn.XLOOKUP(Pályák!A114,Mars!A:A,Mars!E:E)&amp;""&amp;_xlfn.XLOOKUP(Pályák!A114,Mars!A:A,Mars!G:G)</f>
        <v>#N/A</v>
      </c>
      <c r="G114" s="12" t="e">
        <f>_xlfn.XLOOKUP(Pályák!A114,Mars!A:A,Mars!E:E)&amp;""&amp;_xlfn.XLOOKUP(Pályák!A114,Mars!A:A,Mars!H:H)</f>
        <v>#N/A</v>
      </c>
    </row>
    <row r="115" spans="1:7" x14ac:dyDescent="0.25">
      <c r="A115" s="3">
        <v>44674</v>
      </c>
      <c r="B115" s="12" t="e">
        <f>_xlfn.XLOOKUP(Pályák!A115,Mars!A:A,Mars!B:B)</f>
        <v>#N/A</v>
      </c>
      <c r="C115" s="12" t="e">
        <f>_xlfn.XLOOKUP(Pályák!A115,Mars!A:A,Mars!C:C)</f>
        <v>#N/A</v>
      </c>
      <c r="D115" s="12" t="e">
        <f>_xlfn.XLOOKUP(Pályák!A115,Mars!A:A,Mars!D:D)</f>
        <v>#N/A</v>
      </c>
      <c r="E115" s="12" t="e">
        <f>_xlfn.XLOOKUP(Pályák!A115,Mars!A:A,Mars!E:E)&amp;""&amp;_xlfn.XLOOKUP(Pályák!A115,Mars!A:A,Mars!F:F)</f>
        <v>#N/A</v>
      </c>
      <c r="F115" s="12" t="e">
        <f>_xlfn.XLOOKUP(Pályák!A115,Mars!A:A,Mars!E:E)&amp;""&amp;_xlfn.XLOOKUP(Pályák!A115,Mars!A:A,Mars!G:G)</f>
        <v>#N/A</v>
      </c>
      <c r="G115" s="12" t="e">
        <f>_xlfn.XLOOKUP(Pályák!A115,Mars!A:A,Mars!E:E)&amp;""&amp;_xlfn.XLOOKUP(Pályák!A115,Mars!A:A,Mars!H:H)</f>
        <v>#N/A</v>
      </c>
    </row>
    <row r="116" spans="1:7" x14ac:dyDescent="0.25">
      <c r="A116" s="3">
        <v>44675</v>
      </c>
      <c r="B116" s="12" t="e">
        <f>_xlfn.XLOOKUP(Pályák!A116,Mars!A:A,Mars!B:B)</f>
        <v>#N/A</v>
      </c>
      <c r="C116" s="12" t="e">
        <f>_xlfn.XLOOKUP(Pályák!A116,Mars!A:A,Mars!C:C)</f>
        <v>#N/A</v>
      </c>
      <c r="D116" s="12" t="e">
        <f>_xlfn.XLOOKUP(Pályák!A116,Mars!A:A,Mars!D:D)</f>
        <v>#N/A</v>
      </c>
      <c r="E116" s="12" t="e">
        <f>_xlfn.XLOOKUP(Pályák!A116,Mars!A:A,Mars!E:E)&amp;""&amp;_xlfn.XLOOKUP(Pályák!A116,Mars!A:A,Mars!F:F)</f>
        <v>#N/A</v>
      </c>
      <c r="F116" s="12" t="e">
        <f>_xlfn.XLOOKUP(Pályák!A116,Mars!A:A,Mars!E:E)&amp;""&amp;_xlfn.XLOOKUP(Pályák!A116,Mars!A:A,Mars!G:G)</f>
        <v>#N/A</v>
      </c>
      <c r="G116" s="12" t="e">
        <f>_xlfn.XLOOKUP(Pályák!A116,Mars!A:A,Mars!E:E)&amp;""&amp;_xlfn.XLOOKUP(Pályák!A116,Mars!A:A,Mars!H:H)</f>
        <v>#N/A</v>
      </c>
    </row>
    <row r="117" spans="1:7" x14ac:dyDescent="0.25">
      <c r="A117" s="3">
        <v>44676</v>
      </c>
      <c r="B117" s="12" t="e">
        <f>_xlfn.XLOOKUP(Pályák!A117,Mars!A:A,Mars!B:B)</f>
        <v>#N/A</v>
      </c>
      <c r="C117" s="12" t="e">
        <f>_xlfn.XLOOKUP(Pályák!A117,Mars!A:A,Mars!C:C)</f>
        <v>#N/A</v>
      </c>
      <c r="D117" s="12" t="e">
        <f>_xlfn.XLOOKUP(Pályák!A117,Mars!A:A,Mars!D:D)</f>
        <v>#N/A</v>
      </c>
      <c r="E117" s="12" t="e">
        <f>_xlfn.XLOOKUP(Pályák!A117,Mars!A:A,Mars!E:E)&amp;""&amp;_xlfn.XLOOKUP(Pályák!A117,Mars!A:A,Mars!F:F)</f>
        <v>#N/A</v>
      </c>
      <c r="F117" s="12" t="e">
        <f>_xlfn.XLOOKUP(Pályák!A117,Mars!A:A,Mars!E:E)&amp;""&amp;_xlfn.XLOOKUP(Pályák!A117,Mars!A:A,Mars!G:G)</f>
        <v>#N/A</v>
      </c>
      <c r="G117" s="12" t="e">
        <f>_xlfn.XLOOKUP(Pályák!A117,Mars!A:A,Mars!E:E)&amp;""&amp;_xlfn.XLOOKUP(Pályák!A117,Mars!A:A,Mars!H:H)</f>
        <v>#N/A</v>
      </c>
    </row>
    <row r="118" spans="1:7" x14ac:dyDescent="0.25">
      <c r="A118" s="3">
        <v>44677</v>
      </c>
      <c r="B118" s="12" t="e">
        <f>_xlfn.XLOOKUP(Pályák!A118,Mars!A:A,Mars!B:B)</f>
        <v>#N/A</v>
      </c>
      <c r="C118" s="12" t="e">
        <f>_xlfn.XLOOKUP(Pályák!A118,Mars!A:A,Mars!C:C)</f>
        <v>#N/A</v>
      </c>
      <c r="D118" s="12" t="e">
        <f>_xlfn.XLOOKUP(Pályák!A118,Mars!A:A,Mars!D:D)</f>
        <v>#N/A</v>
      </c>
      <c r="E118" s="12" t="e">
        <f>_xlfn.XLOOKUP(Pályák!A118,Mars!A:A,Mars!E:E)&amp;""&amp;_xlfn.XLOOKUP(Pályák!A118,Mars!A:A,Mars!F:F)</f>
        <v>#N/A</v>
      </c>
      <c r="F118" s="12" t="e">
        <f>_xlfn.XLOOKUP(Pályák!A118,Mars!A:A,Mars!E:E)&amp;""&amp;_xlfn.XLOOKUP(Pályák!A118,Mars!A:A,Mars!G:G)</f>
        <v>#N/A</v>
      </c>
      <c r="G118" s="12" t="e">
        <f>_xlfn.XLOOKUP(Pályák!A118,Mars!A:A,Mars!E:E)&amp;""&amp;_xlfn.XLOOKUP(Pályák!A118,Mars!A:A,Mars!H:H)</f>
        <v>#N/A</v>
      </c>
    </row>
    <row r="119" spans="1:7" x14ac:dyDescent="0.25">
      <c r="A119" s="3">
        <v>44678</v>
      </c>
      <c r="B119" s="12" t="e">
        <f>_xlfn.XLOOKUP(Pályák!A119,Mars!A:A,Mars!B:B)</f>
        <v>#N/A</v>
      </c>
      <c r="C119" s="12" t="e">
        <f>_xlfn.XLOOKUP(Pályák!A119,Mars!A:A,Mars!C:C)</f>
        <v>#N/A</v>
      </c>
      <c r="D119" s="12" t="e">
        <f>_xlfn.XLOOKUP(Pályák!A119,Mars!A:A,Mars!D:D)</f>
        <v>#N/A</v>
      </c>
      <c r="E119" s="12" t="e">
        <f>_xlfn.XLOOKUP(Pályák!A119,Mars!A:A,Mars!E:E)&amp;""&amp;_xlfn.XLOOKUP(Pályák!A119,Mars!A:A,Mars!F:F)</f>
        <v>#N/A</v>
      </c>
      <c r="F119" s="12" t="e">
        <f>_xlfn.XLOOKUP(Pályák!A119,Mars!A:A,Mars!E:E)&amp;""&amp;_xlfn.XLOOKUP(Pályák!A119,Mars!A:A,Mars!G:G)</f>
        <v>#N/A</v>
      </c>
      <c r="G119" s="12" t="e">
        <f>_xlfn.XLOOKUP(Pályák!A119,Mars!A:A,Mars!E:E)&amp;""&amp;_xlfn.XLOOKUP(Pályák!A119,Mars!A:A,Mars!H:H)</f>
        <v>#N/A</v>
      </c>
    </row>
    <row r="120" spans="1:7" x14ac:dyDescent="0.25">
      <c r="A120" s="3">
        <v>44679</v>
      </c>
      <c r="B120" s="12" t="e">
        <f>_xlfn.XLOOKUP(Pályák!A120,Mars!A:A,Mars!B:B)</f>
        <v>#N/A</v>
      </c>
      <c r="C120" s="12" t="e">
        <f>_xlfn.XLOOKUP(Pályák!A120,Mars!A:A,Mars!C:C)</f>
        <v>#N/A</v>
      </c>
      <c r="D120" s="12" t="e">
        <f>_xlfn.XLOOKUP(Pályák!A120,Mars!A:A,Mars!D:D)</f>
        <v>#N/A</v>
      </c>
      <c r="E120" s="12" t="e">
        <f>_xlfn.XLOOKUP(Pályák!A120,Mars!A:A,Mars!E:E)&amp;""&amp;_xlfn.XLOOKUP(Pályák!A120,Mars!A:A,Mars!F:F)</f>
        <v>#N/A</v>
      </c>
      <c r="F120" s="12" t="e">
        <f>_xlfn.XLOOKUP(Pályák!A120,Mars!A:A,Mars!E:E)&amp;""&amp;_xlfn.XLOOKUP(Pályák!A120,Mars!A:A,Mars!G:G)</f>
        <v>#N/A</v>
      </c>
      <c r="G120" s="12" t="e">
        <f>_xlfn.XLOOKUP(Pályák!A120,Mars!A:A,Mars!E:E)&amp;""&amp;_xlfn.XLOOKUP(Pályák!A120,Mars!A:A,Mars!H:H)</f>
        <v>#N/A</v>
      </c>
    </row>
    <row r="121" spans="1:7" x14ac:dyDescent="0.25">
      <c r="A121" s="3">
        <v>44680</v>
      </c>
      <c r="B121" s="12" t="e">
        <f>_xlfn.XLOOKUP(Pályák!A121,Mars!A:A,Mars!B:B)</f>
        <v>#N/A</v>
      </c>
      <c r="C121" s="12" t="e">
        <f>_xlfn.XLOOKUP(Pályák!A121,Mars!A:A,Mars!C:C)</f>
        <v>#N/A</v>
      </c>
      <c r="D121" s="12" t="e">
        <f>_xlfn.XLOOKUP(Pályák!A121,Mars!A:A,Mars!D:D)</f>
        <v>#N/A</v>
      </c>
      <c r="E121" s="12" t="e">
        <f>_xlfn.XLOOKUP(Pályák!A121,Mars!A:A,Mars!E:E)&amp;""&amp;_xlfn.XLOOKUP(Pályák!A121,Mars!A:A,Mars!F:F)</f>
        <v>#N/A</v>
      </c>
      <c r="F121" s="12" t="e">
        <f>_xlfn.XLOOKUP(Pályák!A121,Mars!A:A,Mars!E:E)&amp;""&amp;_xlfn.XLOOKUP(Pályák!A121,Mars!A:A,Mars!G:G)</f>
        <v>#N/A</v>
      </c>
      <c r="G121" s="12" t="e">
        <f>_xlfn.XLOOKUP(Pályák!A121,Mars!A:A,Mars!E:E)&amp;""&amp;_xlfn.XLOOKUP(Pályák!A121,Mars!A:A,Mars!H:H)</f>
        <v>#N/A</v>
      </c>
    </row>
    <row r="122" spans="1:7" x14ac:dyDescent="0.25">
      <c r="A122" s="3">
        <v>44681</v>
      </c>
      <c r="B122" s="12" t="e">
        <f>_xlfn.XLOOKUP(Pályák!A122,Mars!A:A,Mars!B:B)</f>
        <v>#N/A</v>
      </c>
      <c r="C122" s="12" t="e">
        <f>_xlfn.XLOOKUP(Pályák!A122,Mars!A:A,Mars!C:C)</f>
        <v>#N/A</v>
      </c>
      <c r="D122" s="12" t="e">
        <f>_xlfn.XLOOKUP(Pályák!A122,Mars!A:A,Mars!D:D)</f>
        <v>#N/A</v>
      </c>
      <c r="E122" s="12" t="e">
        <f>_xlfn.XLOOKUP(Pályák!A122,Mars!A:A,Mars!E:E)&amp;""&amp;_xlfn.XLOOKUP(Pályák!A122,Mars!A:A,Mars!F:F)</f>
        <v>#N/A</v>
      </c>
      <c r="F122" s="12" t="e">
        <f>_xlfn.XLOOKUP(Pályák!A122,Mars!A:A,Mars!E:E)&amp;""&amp;_xlfn.XLOOKUP(Pályák!A122,Mars!A:A,Mars!G:G)</f>
        <v>#N/A</v>
      </c>
      <c r="G122" s="12" t="e">
        <f>_xlfn.XLOOKUP(Pályák!A122,Mars!A:A,Mars!E:E)&amp;""&amp;_xlfn.XLOOKUP(Pályák!A122,Mars!A:A,Mars!H:H)</f>
        <v>#N/A</v>
      </c>
    </row>
    <row r="123" spans="1:7" x14ac:dyDescent="0.25">
      <c r="A123" s="3">
        <v>44682</v>
      </c>
      <c r="B123" s="12" t="e">
        <f>_xlfn.XLOOKUP(Pályák!A123,Mars!A:A,Mars!B:B)</f>
        <v>#N/A</v>
      </c>
      <c r="C123" s="12" t="e">
        <f>_xlfn.XLOOKUP(Pályák!A123,Mars!A:A,Mars!C:C)</f>
        <v>#N/A</v>
      </c>
      <c r="D123" s="12" t="e">
        <f>_xlfn.XLOOKUP(Pályák!A123,Mars!A:A,Mars!D:D)</f>
        <v>#N/A</v>
      </c>
      <c r="E123" s="12" t="e">
        <f>_xlfn.XLOOKUP(Pályák!A123,Mars!A:A,Mars!E:E)&amp;""&amp;_xlfn.XLOOKUP(Pályák!A123,Mars!A:A,Mars!F:F)</f>
        <v>#N/A</v>
      </c>
      <c r="F123" s="12" t="e">
        <f>_xlfn.XLOOKUP(Pályák!A123,Mars!A:A,Mars!E:E)&amp;""&amp;_xlfn.XLOOKUP(Pályák!A123,Mars!A:A,Mars!G:G)</f>
        <v>#N/A</v>
      </c>
      <c r="G123" s="12" t="e">
        <f>_xlfn.XLOOKUP(Pályák!A123,Mars!A:A,Mars!E:E)&amp;""&amp;_xlfn.XLOOKUP(Pályák!A123,Mars!A:A,Mars!H:H)</f>
        <v>#N/A</v>
      </c>
    </row>
    <row r="124" spans="1:7" x14ac:dyDescent="0.25">
      <c r="A124" s="3">
        <v>44683</v>
      </c>
      <c r="B124" s="12" t="e">
        <f>_xlfn.XLOOKUP(Pályák!A124,Mars!A:A,Mars!B:B)</f>
        <v>#N/A</v>
      </c>
      <c r="C124" s="12" t="e">
        <f>_xlfn.XLOOKUP(Pályák!A124,Mars!A:A,Mars!C:C)</f>
        <v>#N/A</v>
      </c>
      <c r="D124" s="12" t="e">
        <f>_xlfn.XLOOKUP(Pályák!A124,Mars!A:A,Mars!D:D)</f>
        <v>#N/A</v>
      </c>
      <c r="E124" s="12" t="e">
        <f>_xlfn.XLOOKUP(Pályák!A124,Mars!A:A,Mars!E:E)&amp;""&amp;_xlfn.XLOOKUP(Pályák!A124,Mars!A:A,Mars!F:F)</f>
        <v>#N/A</v>
      </c>
      <c r="F124" s="12" t="e">
        <f>_xlfn.XLOOKUP(Pályák!A124,Mars!A:A,Mars!E:E)&amp;""&amp;_xlfn.XLOOKUP(Pályák!A124,Mars!A:A,Mars!G:G)</f>
        <v>#N/A</v>
      </c>
      <c r="G124" s="12" t="e">
        <f>_xlfn.XLOOKUP(Pályák!A124,Mars!A:A,Mars!E:E)&amp;""&amp;_xlfn.XLOOKUP(Pályák!A124,Mars!A:A,Mars!H:H)</f>
        <v>#N/A</v>
      </c>
    </row>
    <row r="125" spans="1:7" x14ac:dyDescent="0.25">
      <c r="A125" s="3">
        <v>44684</v>
      </c>
      <c r="B125" s="12" t="e">
        <f>_xlfn.XLOOKUP(Pályák!A125,Mars!A:A,Mars!B:B)</f>
        <v>#N/A</v>
      </c>
      <c r="C125" s="12" t="e">
        <f>_xlfn.XLOOKUP(Pályák!A125,Mars!A:A,Mars!C:C)</f>
        <v>#N/A</v>
      </c>
      <c r="D125" s="12" t="e">
        <f>_xlfn.XLOOKUP(Pályák!A125,Mars!A:A,Mars!D:D)</f>
        <v>#N/A</v>
      </c>
      <c r="E125" s="12" t="e">
        <f>_xlfn.XLOOKUP(Pályák!A125,Mars!A:A,Mars!E:E)&amp;""&amp;_xlfn.XLOOKUP(Pályák!A125,Mars!A:A,Mars!F:F)</f>
        <v>#N/A</v>
      </c>
      <c r="F125" s="12" t="e">
        <f>_xlfn.XLOOKUP(Pályák!A125,Mars!A:A,Mars!E:E)&amp;""&amp;_xlfn.XLOOKUP(Pályák!A125,Mars!A:A,Mars!G:G)</f>
        <v>#N/A</v>
      </c>
      <c r="G125" s="12" t="e">
        <f>_xlfn.XLOOKUP(Pályák!A125,Mars!A:A,Mars!E:E)&amp;""&amp;_xlfn.XLOOKUP(Pályák!A125,Mars!A:A,Mars!H:H)</f>
        <v>#N/A</v>
      </c>
    </row>
    <row r="126" spans="1:7" x14ac:dyDescent="0.25">
      <c r="A126" s="3">
        <v>44685</v>
      </c>
      <c r="B126" s="12" t="e">
        <f>_xlfn.XLOOKUP(Pályák!A126,Mars!A:A,Mars!B:B)</f>
        <v>#N/A</v>
      </c>
      <c r="C126" s="12" t="e">
        <f>_xlfn.XLOOKUP(Pályák!A126,Mars!A:A,Mars!C:C)</f>
        <v>#N/A</v>
      </c>
      <c r="D126" s="12" t="e">
        <f>_xlfn.XLOOKUP(Pályák!A126,Mars!A:A,Mars!D:D)</f>
        <v>#N/A</v>
      </c>
      <c r="E126" s="12" t="e">
        <f>_xlfn.XLOOKUP(Pályák!A126,Mars!A:A,Mars!E:E)&amp;""&amp;_xlfn.XLOOKUP(Pályák!A126,Mars!A:A,Mars!F:F)</f>
        <v>#N/A</v>
      </c>
      <c r="F126" s="12" t="e">
        <f>_xlfn.XLOOKUP(Pályák!A126,Mars!A:A,Mars!E:E)&amp;""&amp;_xlfn.XLOOKUP(Pályák!A126,Mars!A:A,Mars!G:G)</f>
        <v>#N/A</v>
      </c>
      <c r="G126" s="12" t="e">
        <f>_xlfn.XLOOKUP(Pályák!A126,Mars!A:A,Mars!E:E)&amp;""&amp;_xlfn.XLOOKUP(Pályák!A126,Mars!A:A,Mars!H:H)</f>
        <v>#N/A</v>
      </c>
    </row>
    <row r="127" spans="1:7" x14ac:dyDescent="0.25">
      <c r="A127" s="3">
        <v>44686</v>
      </c>
      <c r="B127" s="12" t="e">
        <f>_xlfn.XLOOKUP(Pályák!A127,Mars!A:A,Mars!B:B)</f>
        <v>#N/A</v>
      </c>
      <c r="C127" s="12" t="e">
        <f>_xlfn.XLOOKUP(Pályák!A127,Mars!A:A,Mars!C:C)</f>
        <v>#N/A</v>
      </c>
      <c r="D127" s="12" t="e">
        <f>_xlfn.XLOOKUP(Pályák!A127,Mars!A:A,Mars!D:D)</f>
        <v>#N/A</v>
      </c>
      <c r="E127" s="12" t="e">
        <f>_xlfn.XLOOKUP(Pályák!A127,Mars!A:A,Mars!E:E)&amp;""&amp;_xlfn.XLOOKUP(Pályák!A127,Mars!A:A,Mars!F:F)</f>
        <v>#N/A</v>
      </c>
      <c r="F127" s="12" t="e">
        <f>_xlfn.XLOOKUP(Pályák!A127,Mars!A:A,Mars!E:E)&amp;""&amp;_xlfn.XLOOKUP(Pályák!A127,Mars!A:A,Mars!G:G)</f>
        <v>#N/A</v>
      </c>
      <c r="G127" s="12" t="e">
        <f>_xlfn.XLOOKUP(Pályák!A127,Mars!A:A,Mars!E:E)&amp;""&amp;_xlfn.XLOOKUP(Pályák!A127,Mars!A:A,Mars!H:H)</f>
        <v>#N/A</v>
      </c>
    </row>
    <row r="128" spans="1:7" x14ac:dyDescent="0.25">
      <c r="A128" s="3">
        <v>44687</v>
      </c>
      <c r="B128" s="12" t="e">
        <f>_xlfn.XLOOKUP(Pályák!A128,Mars!A:A,Mars!B:B)</f>
        <v>#N/A</v>
      </c>
      <c r="C128" s="12" t="e">
        <f>_xlfn.XLOOKUP(Pályák!A128,Mars!A:A,Mars!C:C)</f>
        <v>#N/A</v>
      </c>
      <c r="D128" s="12" t="e">
        <f>_xlfn.XLOOKUP(Pályák!A128,Mars!A:A,Mars!D:D)</f>
        <v>#N/A</v>
      </c>
      <c r="E128" s="12" t="e">
        <f>_xlfn.XLOOKUP(Pályák!A128,Mars!A:A,Mars!E:E)&amp;""&amp;_xlfn.XLOOKUP(Pályák!A128,Mars!A:A,Mars!F:F)</f>
        <v>#N/A</v>
      </c>
      <c r="F128" s="12" t="e">
        <f>_xlfn.XLOOKUP(Pályák!A128,Mars!A:A,Mars!E:E)&amp;""&amp;_xlfn.XLOOKUP(Pályák!A128,Mars!A:A,Mars!G:G)</f>
        <v>#N/A</v>
      </c>
      <c r="G128" s="12" t="e">
        <f>_xlfn.XLOOKUP(Pályák!A128,Mars!A:A,Mars!E:E)&amp;""&amp;_xlfn.XLOOKUP(Pályák!A128,Mars!A:A,Mars!H:H)</f>
        <v>#N/A</v>
      </c>
    </row>
    <row r="129" spans="1:7" x14ac:dyDescent="0.25">
      <c r="A129" s="3">
        <v>44688</v>
      </c>
      <c r="B129" s="12" t="e">
        <f>_xlfn.XLOOKUP(Pályák!A129,Mars!A:A,Mars!B:B)</f>
        <v>#N/A</v>
      </c>
      <c r="C129" s="12" t="e">
        <f>_xlfn.XLOOKUP(Pályák!A129,Mars!A:A,Mars!C:C)</f>
        <v>#N/A</v>
      </c>
      <c r="D129" s="12" t="e">
        <f>_xlfn.XLOOKUP(Pályák!A129,Mars!A:A,Mars!D:D)</f>
        <v>#N/A</v>
      </c>
      <c r="E129" s="12" t="e">
        <f>_xlfn.XLOOKUP(Pályák!A129,Mars!A:A,Mars!E:E)&amp;""&amp;_xlfn.XLOOKUP(Pályák!A129,Mars!A:A,Mars!F:F)</f>
        <v>#N/A</v>
      </c>
      <c r="F129" s="12" t="e">
        <f>_xlfn.XLOOKUP(Pályák!A129,Mars!A:A,Mars!E:E)&amp;""&amp;_xlfn.XLOOKUP(Pályák!A129,Mars!A:A,Mars!G:G)</f>
        <v>#N/A</v>
      </c>
      <c r="G129" s="12" t="e">
        <f>_xlfn.XLOOKUP(Pályák!A129,Mars!A:A,Mars!E:E)&amp;""&amp;_xlfn.XLOOKUP(Pályák!A129,Mars!A:A,Mars!H:H)</f>
        <v>#N/A</v>
      </c>
    </row>
    <row r="130" spans="1:7" x14ac:dyDescent="0.25">
      <c r="A130" s="3">
        <v>44689</v>
      </c>
      <c r="B130" s="12" t="e">
        <f>_xlfn.XLOOKUP(Pályák!A130,Mars!A:A,Mars!B:B)</f>
        <v>#N/A</v>
      </c>
      <c r="C130" s="12" t="e">
        <f>_xlfn.XLOOKUP(Pályák!A130,Mars!A:A,Mars!C:C)</f>
        <v>#N/A</v>
      </c>
      <c r="D130" s="12" t="e">
        <f>_xlfn.XLOOKUP(Pályák!A130,Mars!A:A,Mars!D:D)</f>
        <v>#N/A</v>
      </c>
      <c r="E130" s="12" t="e">
        <f>_xlfn.XLOOKUP(Pályák!A130,Mars!A:A,Mars!E:E)&amp;""&amp;_xlfn.XLOOKUP(Pályák!A130,Mars!A:A,Mars!F:F)</f>
        <v>#N/A</v>
      </c>
      <c r="F130" s="12" t="e">
        <f>_xlfn.XLOOKUP(Pályák!A130,Mars!A:A,Mars!E:E)&amp;""&amp;_xlfn.XLOOKUP(Pályák!A130,Mars!A:A,Mars!G:G)</f>
        <v>#N/A</v>
      </c>
      <c r="G130" s="12" t="e">
        <f>_xlfn.XLOOKUP(Pályák!A130,Mars!A:A,Mars!E:E)&amp;""&amp;_xlfn.XLOOKUP(Pályák!A130,Mars!A:A,Mars!H:H)</f>
        <v>#N/A</v>
      </c>
    </row>
    <row r="131" spans="1:7" x14ac:dyDescent="0.25">
      <c r="A131" s="3">
        <v>44690</v>
      </c>
      <c r="B131" s="12" t="e">
        <f>_xlfn.XLOOKUP(Pályák!A131,Mars!A:A,Mars!B:B)</f>
        <v>#N/A</v>
      </c>
      <c r="C131" s="12" t="e">
        <f>_xlfn.XLOOKUP(Pályák!A131,Mars!A:A,Mars!C:C)</f>
        <v>#N/A</v>
      </c>
      <c r="D131" s="12" t="e">
        <f>_xlfn.XLOOKUP(Pályák!A131,Mars!A:A,Mars!D:D)</f>
        <v>#N/A</v>
      </c>
      <c r="E131" s="12" t="e">
        <f>_xlfn.XLOOKUP(Pályák!A131,Mars!A:A,Mars!E:E)&amp;""&amp;_xlfn.XLOOKUP(Pályák!A131,Mars!A:A,Mars!F:F)</f>
        <v>#N/A</v>
      </c>
      <c r="F131" s="12" t="e">
        <f>_xlfn.XLOOKUP(Pályák!A131,Mars!A:A,Mars!E:E)&amp;""&amp;_xlfn.XLOOKUP(Pályák!A131,Mars!A:A,Mars!G:G)</f>
        <v>#N/A</v>
      </c>
      <c r="G131" s="12" t="e">
        <f>_xlfn.XLOOKUP(Pályák!A131,Mars!A:A,Mars!E:E)&amp;""&amp;_xlfn.XLOOKUP(Pályák!A131,Mars!A:A,Mars!H:H)</f>
        <v>#N/A</v>
      </c>
    </row>
    <row r="132" spans="1:7" x14ac:dyDescent="0.25">
      <c r="A132" s="3">
        <v>44691</v>
      </c>
      <c r="B132" s="12" t="e">
        <f>_xlfn.XLOOKUP(Pályák!A132,Mars!A:A,Mars!B:B)</f>
        <v>#N/A</v>
      </c>
      <c r="C132" s="12" t="e">
        <f>_xlfn.XLOOKUP(Pályák!A132,Mars!A:A,Mars!C:C)</f>
        <v>#N/A</v>
      </c>
      <c r="D132" s="12" t="e">
        <f>_xlfn.XLOOKUP(Pályák!A132,Mars!A:A,Mars!D:D)</f>
        <v>#N/A</v>
      </c>
      <c r="E132" s="12" t="e">
        <f>_xlfn.XLOOKUP(Pályák!A132,Mars!A:A,Mars!E:E)&amp;""&amp;_xlfn.XLOOKUP(Pályák!A132,Mars!A:A,Mars!F:F)</f>
        <v>#N/A</v>
      </c>
      <c r="F132" s="12" t="e">
        <f>_xlfn.XLOOKUP(Pályák!A132,Mars!A:A,Mars!E:E)&amp;""&amp;_xlfn.XLOOKUP(Pályák!A132,Mars!A:A,Mars!G:G)</f>
        <v>#N/A</v>
      </c>
      <c r="G132" s="12" t="e">
        <f>_xlfn.XLOOKUP(Pályák!A132,Mars!A:A,Mars!E:E)&amp;""&amp;_xlfn.XLOOKUP(Pályák!A132,Mars!A:A,Mars!H:H)</f>
        <v>#N/A</v>
      </c>
    </row>
    <row r="133" spans="1:7" x14ac:dyDescent="0.25">
      <c r="A133" s="3">
        <v>44692</v>
      </c>
      <c r="B133" s="12" t="e">
        <f>_xlfn.XLOOKUP(Pályák!A133,Mars!A:A,Mars!B:B)</f>
        <v>#N/A</v>
      </c>
      <c r="C133" s="12" t="e">
        <f>_xlfn.XLOOKUP(Pályák!A133,Mars!A:A,Mars!C:C)</f>
        <v>#N/A</v>
      </c>
      <c r="D133" s="12" t="e">
        <f>_xlfn.XLOOKUP(Pályák!A133,Mars!A:A,Mars!D:D)</f>
        <v>#N/A</v>
      </c>
      <c r="E133" s="12" t="e">
        <f>_xlfn.XLOOKUP(Pályák!A133,Mars!A:A,Mars!E:E)&amp;""&amp;_xlfn.XLOOKUP(Pályák!A133,Mars!A:A,Mars!F:F)</f>
        <v>#N/A</v>
      </c>
      <c r="F133" s="12" t="e">
        <f>_xlfn.XLOOKUP(Pályák!A133,Mars!A:A,Mars!E:E)&amp;""&amp;_xlfn.XLOOKUP(Pályák!A133,Mars!A:A,Mars!G:G)</f>
        <v>#N/A</v>
      </c>
      <c r="G133" s="12" t="e">
        <f>_xlfn.XLOOKUP(Pályák!A133,Mars!A:A,Mars!E:E)&amp;""&amp;_xlfn.XLOOKUP(Pályák!A133,Mars!A:A,Mars!H:H)</f>
        <v>#N/A</v>
      </c>
    </row>
    <row r="134" spans="1:7" x14ac:dyDescent="0.25">
      <c r="A134" s="3">
        <v>44693</v>
      </c>
      <c r="B134" s="12" t="e">
        <f>_xlfn.XLOOKUP(Pályák!A134,Mars!A:A,Mars!B:B)</f>
        <v>#N/A</v>
      </c>
      <c r="C134" s="12" t="e">
        <f>_xlfn.XLOOKUP(Pályák!A134,Mars!A:A,Mars!C:C)</f>
        <v>#N/A</v>
      </c>
      <c r="D134" s="12" t="e">
        <f>_xlfn.XLOOKUP(Pályák!A134,Mars!A:A,Mars!D:D)</f>
        <v>#N/A</v>
      </c>
      <c r="E134" s="12" t="e">
        <f>_xlfn.XLOOKUP(Pályák!A134,Mars!A:A,Mars!E:E)&amp;""&amp;_xlfn.XLOOKUP(Pályák!A134,Mars!A:A,Mars!F:F)</f>
        <v>#N/A</v>
      </c>
      <c r="F134" s="12" t="e">
        <f>_xlfn.XLOOKUP(Pályák!A134,Mars!A:A,Mars!E:E)&amp;""&amp;_xlfn.XLOOKUP(Pályák!A134,Mars!A:A,Mars!G:G)</f>
        <v>#N/A</v>
      </c>
      <c r="G134" s="12" t="e">
        <f>_xlfn.XLOOKUP(Pályák!A134,Mars!A:A,Mars!E:E)&amp;""&amp;_xlfn.XLOOKUP(Pályák!A134,Mars!A:A,Mars!H:H)</f>
        <v>#N/A</v>
      </c>
    </row>
    <row r="135" spans="1:7" x14ac:dyDescent="0.25">
      <c r="A135" s="3">
        <v>44694</v>
      </c>
      <c r="B135" s="12" t="e">
        <f>_xlfn.XLOOKUP(Pályák!A135,Mars!A:A,Mars!B:B)</f>
        <v>#N/A</v>
      </c>
      <c r="C135" s="12" t="e">
        <f>_xlfn.XLOOKUP(Pályák!A135,Mars!A:A,Mars!C:C)</f>
        <v>#N/A</v>
      </c>
      <c r="D135" s="12" t="e">
        <f>_xlfn.XLOOKUP(Pályák!A135,Mars!A:A,Mars!D:D)</f>
        <v>#N/A</v>
      </c>
      <c r="E135" s="12" t="e">
        <f>_xlfn.XLOOKUP(Pályák!A135,Mars!A:A,Mars!E:E)&amp;""&amp;_xlfn.XLOOKUP(Pályák!A135,Mars!A:A,Mars!F:F)</f>
        <v>#N/A</v>
      </c>
      <c r="F135" s="12" t="e">
        <f>_xlfn.XLOOKUP(Pályák!A135,Mars!A:A,Mars!E:E)&amp;""&amp;_xlfn.XLOOKUP(Pályák!A135,Mars!A:A,Mars!G:G)</f>
        <v>#N/A</v>
      </c>
      <c r="G135" s="12" t="e">
        <f>_xlfn.XLOOKUP(Pályák!A135,Mars!A:A,Mars!E:E)&amp;""&amp;_xlfn.XLOOKUP(Pályák!A135,Mars!A:A,Mars!H:H)</f>
        <v>#N/A</v>
      </c>
    </row>
    <row r="136" spans="1:7" x14ac:dyDescent="0.25">
      <c r="A136" s="3">
        <v>44695</v>
      </c>
      <c r="B136" s="12" t="e">
        <f>_xlfn.XLOOKUP(Pályák!A136,Mars!A:A,Mars!B:B)</f>
        <v>#N/A</v>
      </c>
      <c r="C136" s="12" t="e">
        <f>_xlfn.XLOOKUP(Pályák!A136,Mars!A:A,Mars!C:C)</f>
        <v>#N/A</v>
      </c>
      <c r="D136" s="12" t="e">
        <f>_xlfn.XLOOKUP(Pályák!A136,Mars!A:A,Mars!D:D)</f>
        <v>#N/A</v>
      </c>
      <c r="E136" s="12" t="e">
        <f>_xlfn.XLOOKUP(Pályák!A136,Mars!A:A,Mars!E:E)&amp;""&amp;_xlfn.XLOOKUP(Pályák!A136,Mars!A:A,Mars!F:F)</f>
        <v>#N/A</v>
      </c>
      <c r="F136" s="12" t="e">
        <f>_xlfn.XLOOKUP(Pályák!A136,Mars!A:A,Mars!E:E)&amp;""&amp;_xlfn.XLOOKUP(Pályák!A136,Mars!A:A,Mars!G:G)</f>
        <v>#N/A</v>
      </c>
      <c r="G136" s="12" t="e">
        <f>_xlfn.XLOOKUP(Pályák!A136,Mars!A:A,Mars!E:E)&amp;""&amp;_xlfn.XLOOKUP(Pályák!A136,Mars!A:A,Mars!H:H)</f>
        <v>#N/A</v>
      </c>
    </row>
    <row r="137" spans="1:7" x14ac:dyDescent="0.25">
      <c r="A137" s="3">
        <v>44696</v>
      </c>
      <c r="B137" s="12" t="e">
        <f>_xlfn.XLOOKUP(Pályák!A137,Mars!A:A,Mars!B:B)</f>
        <v>#N/A</v>
      </c>
      <c r="C137" s="12" t="e">
        <f>_xlfn.XLOOKUP(Pályák!A137,Mars!A:A,Mars!C:C)</f>
        <v>#N/A</v>
      </c>
      <c r="D137" s="12" t="e">
        <f>_xlfn.XLOOKUP(Pályák!A137,Mars!A:A,Mars!D:D)</f>
        <v>#N/A</v>
      </c>
      <c r="E137" s="12" t="e">
        <f>_xlfn.XLOOKUP(Pályák!A137,Mars!A:A,Mars!E:E)&amp;""&amp;_xlfn.XLOOKUP(Pályák!A137,Mars!A:A,Mars!F:F)</f>
        <v>#N/A</v>
      </c>
      <c r="F137" s="12" t="e">
        <f>_xlfn.XLOOKUP(Pályák!A137,Mars!A:A,Mars!E:E)&amp;""&amp;_xlfn.XLOOKUP(Pályák!A137,Mars!A:A,Mars!G:G)</f>
        <v>#N/A</v>
      </c>
      <c r="G137" s="12" t="e">
        <f>_xlfn.XLOOKUP(Pályák!A137,Mars!A:A,Mars!E:E)&amp;""&amp;_xlfn.XLOOKUP(Pályák!A137,Mars!A:A,Mars!H:H)</f>
        <v>#N/A</v>
      </c>
    </row>
    <row r="138" spans="1:7" x14ac:dyDescent="0.25">
      <c r="A138" s="3">
        <v>44697</v>
      </c>
      <c r="B138" s="12" t="e">
        <f>_xlfn.XLOOKUP(Pályák!A138,Mars!A:A,Mars!B:B)</f>
        <v>#N/A</v>
      </c>
      <c r="C138" s="12" t="e">
        <f>_xlfn.XLOOKUP(Pályák!A138,Mars!A:A,Mars!C:C)</f>
        <v>#N/A</v>
      </c>
      <c r="D138" s="12" t="e">
        <f>_xlfn.XLOOKUP(Pályák!A138,Mars!A:A,Mars!D:D)</f>
        <v>#N/A</v>
      </c>
      <c r="E138" s="12" t="e">
        <f>_xlfn.XLOOKUP(Pályák!A138,Mars!A:A,Mars!E:E)&amp;""&amp;_xlfn.XLOOKUP(Pályák!A138,Mars!A:A,Mars!F:F)</f>
        <v>#N/A</v>
      </c>
      <c r="F138" s="12" t="e">
        <f>_xlfn.XLOOKUP(Pályák!A138,Mars!A:A,Mars!E:E)&amp;""&amp;_xlfn.XLOOKUP(Pályák!A138,Mars!A:A,Mars!G:G)</f>
        <v>#N/A</v>
      </c>
      <c r="G138" s="12" t="e">
        <f>_xlfn.XLOOKUP(Pályák!A138,Mars!A:A,Mars!E:E)&amp;""&amp;_xlfn.XLOOKUP(Pályák!A138,Mars!A:A,Mars!H:H)</f>
        <v>#N/A</v>
      </c>
    </row>
    <row r="139" spans="1:7" x14ac:dyDescent="0.25">
      <c r="A139" s="3">
        <v>44698</v>
      </c>
      <c r="B139" s="12" t="e">
        <f>_xlfn.XLOOKUP(Pályák!A139,Mars!A:A,Mars!B:B)</f>
        <v>#N/A</v>
      </c>
      <c r="C139" s="12" t="e">
        <f>_xlfn.XLOOKUP(Pályák!A139,Mars!A:A,Mars!C:C)</f>
        <v>#N/A</v>
      </c>
      <c r="D139" s="12" t="e">
        <f>_xlfn.XLOOKUP(Pályák!A139,Mars!A:A,Mars!D:D)</f>
        <v>#N/A</v>
      </c>
      <c r="E139" s="12" t="e">
        <f>_xlfn.XLOOKUP(Pályák!A139,Mars!A:A,Mars!E:E)&amp;""&amp;_xlfn.XLOOKUP(Pályák!A139,Mars!A:A,Mars!F:F)</f>
        <v>#N/A</v>
      </c>
      <c r="F139" s="12" t="e">
        <f>_xlfn.XLOOKUP(Pályák!A139,Mars!A:A,Mars!E:E)&amp;""&amp;_xlfn.XLOOKUP(Pályák!A139,Mars!A:A,Mars!G:G)</f>
        <v>#N/A</v>
      </c>
      <c r="G139" s="12" t="e">
        <f>_xlfn.XLOOKUP(Pályák!A139,Mars!A:A,Mars!E:E)&amp;""&amp;_xlfn.XLOOKUP(Pályák!A139,Mars!A:A,Mars!H:H)</f>
        <v>#N/A</v>
      </c>
    </row>
    <row r="140" spans="1:7" x14ac:dyDescent="0.25">
      <c r="A140" s="3">
        <v>44699</v>
      </c>
      <c r="B140" s="12" t="e">
        <f>_xlfn.XLOOKUP(Pályák!A140,Mars!A:A,Mars!B:B)</f>
        <v>#N/A</v>
      </c>
      <c r="C140" s="12" t="e">
        <f>_xlfn.XLOOKUP(Pályák!A140,Mars!A:A,Mars!C:C)</f>
        <v>#N/A</v>
      </c>
      <c r="D140" s="12" t="e">
        <f>_xlfn.XLOOKUP(Pályák!A140,Mars!A:A,Mars!D:D)</f>
        <v>#N/A</v>
      </c>
      <c r="E140" s="12" t="e">
        <f>_xlfn.XLOOKUP(Pályák!A140,Mars!A:A,Mars!E:E)&amp;""&amp;_xlfn.XLOOKUP(Pályák!A140,Mars!A:A,Mars!F:F)</f>
        <v>#N/A</v>
      </c>
      <c r="F140" s="12" t="e">
        <f>_xlfn.XLOOKUP(Pályák!A140,Mars!A:A,Mars!E:E)&amp;""&amp;_xlfn.XLOOKUP(Pályák!A140,Mars!A:A,Mars!G:G)</f>
        <v>#N/A</v>
      </c>
      <c r="G140" s="12" t="e">
        <f>_xlfn.XLOOKUP(Pályák!A140,Mars!A:A,Mars!E:E)&amp;""&amp;_xlfn.XLOOKUP(Pályák!A140,Mars!A:A,Mars!H:H)</f>
        <v>#N/A</v>
      </c>
    </row>
    <row r="141" spans="1:7" x14ac:dyDescent="0.25">
      <c r="A141" s="3">
        <v>44700</v>
      </c>
      <c r="B141" s="12" t="e">
        <f>_xlfn.XLOOKUP(Pályák!A141,Mars!A:A,Mars!B:B)</f>
        <v>#N/A</v>
      </c>
      <c r="C141" s="12" t="e">
        <f>_xlfn.XLOOKUP(Pályák!A141,Mars!A:A,Mars!C:C)</f>
        <v>#N/A</v>
      </c>
      <c r="D141" s="12" t="e">
        <f>_xlfn.XLOOKUP(Pályák!A141,Mars!A:A,Mars!D:D)</f>
        <v>#N/A</v>
      </c>
      <c r="E141" s="12" t="e">
        <f>_xlfn.XLOOKUP(Pályák!A141,Mars!A:A,Mars!E:E)&amp;""&amp;_xlfn.XLOOKUP(Pályák!A141,Mars!A:A,Mars!F:F)</f>
        <v>#N/A</v>
      </c>
      <c r="F141" s="12" t="e">
        <f>_xlfn.XLOOKUP(Pályák!A141,Mars!A:A,Mars!E:E)&amp;""&amp;_xlfn.XLOOKUP(Pályák!A141,Mars!A:A,Mars!G:G)</f>
        <v>#N/A</v>
      </c>
      <c r="G141" s="12" t="e">
        <f>_xlfn.XLOOKUP(Pályák!A141,Mars!A:A,Mars!E:E)&amp;""&amp;_xlfn.XLOOKUP(Pályák!A141,Mars!A:A,Mars!H:H)</f>
        <v>#N/A</v>
      </c>
    </row>
    <row r="142" spans="1:7" x14ac:dyDescent="0.25">
      <c r="A142" s="3">
        <v>44701</v>
      </c>
      <c r="B142" s="12" t="e">
        <f>_xlfn.XLOOKUP(Pályák!A142,Mars!A:A,Mars!B:B)</f>
        <v>#N/A</v>
      </c>
      <c r="C142" s="12" t="e">
        <f>_xlfn.XLOOKUP(Pályák!A142,Mars!A:A,Mars!C:C)</f>
        <v>#N/A</v>
      </c>
      <c r="D142" s="12" t="e">
        <f>_xlfn.XLOOKUP(Pályák!A142,Mars!A:A,Mars!D:D)</f>
        <v>#N/A</v>
      </c>
      <c r="E142" s="12" t="e">
        <f>_xlfn.XLOOKUP(Pályák!A142,Mars!A:A,Mars!E:E)&amp;""&amp;_xlfn.XLOOKUP(Pályák!A142,Mars!A:A,Mars!F:F)</f>
        <v>#N/A</v>
      </c>
      <c r="F142" s="12" t="e">
        <f>_xlfn.XLOOKUP(Pályák!A142,Mars!A:A,Mars!E:E)&amp;""&amp;_xlfn.XLOOKUP(Pályák!A142,Mars!A:A,Mars!G:G)</f>
        <v>#N/A</v>
      </c>
      <c r="G142" s="12" t="e">
        <f>_xlfn.XLOOKUP(Pályák!A142,Mars!A:A,Mars!E:E)&amp;""&amp;_xlfn.XLOOKUP(Pályák!A142,Mars!A:A,Mars!H:H)</f>
        <v>#N/A</v>
      </c>
    </row>
    <row r="143" spans="1:7" x14ac:dyDescent="0.25">
      <c r="A143" s="3">
        <v>44702</v>
      </c>
      <c r="B143" s="12" t="e">
        <f>_xlfn.XLOOKUP(Pályák!A143,Mars!A:A,Mars!B:B)</f>
        <v>#N/A</v>
      </c>
      <c r="C143" s="12" t="e">
        <f>_xlfn.XLOOKUP(Pályák!A143,Mars!A:A,Mars!C:C)</f>
        <v>#N/A</v>
      </c>
      <c r="D143" s="12" t="e">
        <f>_xlfn.XLOOKUP(Pályák!A143,Mars!A:A,Mars!D:D)</f>
        <v>#N/A</v>
      </c>
      <c r="E143" s="12" t="e">
        <f>_xlfn.XLOOKUP(Pályák!A143,Mars!A:A,Mars!E:E)&amp;""&amp;_xlfn.XLOOKUP(Pályák!A143,Mars!A:A,Mars!F:F)</f>
        <v>#N/A</v>
      </c>
      <c r="F143" s="12" t="e">
        <f>_xlfn.XLOOKUP(Pályák!A143,Mars!A:A,Mars!E:E)&amp;""&amp;_xlfn.XLOOKUP(Pályák!A143,Mars!A:A,Mars!G:G)</f>
        <v>#N/A</v>
      </c>
      <c r="G143" s="12" t="e">
        <f>_xlfn.XLOOKUP(Pályák!A143,Mars!A:A,Mars!E:E)&amp;""&amp;_xlfn.XLOOKUP(Pályák!A143,Mars!A:A,Mars!H:H)</f>
        <v>#N/A</v>
      </c>
    </row>
    <row r="144" spans="1:7" x14ac:dyDescent="0.25">
      <c r="A144" s="3">
        <v>44703</v>
      </c>
      <c r="B144" s="12" t="e">
        <f>_xlfn.XLOOKUP(Pályák!A144,Mars!A:A,Mars!B:B)</f>
        <v>#N/A</v>
      </c>
      <c r="C144" s="12" t="e">
        <f>_xlfn.XLOOKUP(Pályák!A144,Mars!A:A,Mars!C:C)</f>
        <v>#N/A</v>
      </c>
      <c r="D144" s="12" t="e">
        <f>_xlfn.XLOOKUP(Pályák!A144,Mars!A:A,Mars!D:D)</f>
        <v>#N/A</v>
      </c>
      <c r="E144" s="12" t="e">
        <f>_xlfn.XLOOKUP(Pályák!A144,Mars!A:A,Mars!E:E)&amp;""&amp;_xlfn.XLOOKUP(Pályák!A144,Mars!A:A,Mars!F:F)</f>
        <v>#N/A</v>
      </c>
      <c r="F144" s="12" t="e">
        <f>_xlfn.XLOOKUP(Pályák!A144,Mars!A:A,Mars!E:E)&amp;""&amp;_xlfn.XLOOKUP(Pályák!A144,Mars!A:A,Mars!G:G)</f>
        <v>#N/A</v>
      </c>
      <c r="G144" s="12" t="e">
        <f>_xlfn.XLOOKUP(Pályák!A144,Mars!A:A,Mars!E:E)&amp;""&amp;_xlfn.XLOOKUP(Pályák!A144,Mars!A:A,Mars!H:H)</f>
        <v>#N/A</v>
      </c>
    </row>
    <row r="145" spans="1:7" x14ac:dyDescent="0.25">
      <c r="A145" s="3">
        <v>44704</v>
      </c>
      <c r="B145" s="12" t="e">
        <f>_xlfn.XLOOKUP(Pályák!A145,Mars!A:A,Mars!B:B)</f>
        <v>#N/A</v>
      </c>
      <c r="C145" s="12" t="e">
        <f>_xlfn.XLOOKUP(Pályák!A145,Mars!A:A,Mars!C:C)</f>
        <v>#N/A</v>
      </c>
      <c r="D145" s="12" t="e">
        <f>_xlfn.XLOOKUP(Pályák!A145,Mars!A:A,Mars!D:D)</f>
        <v>#N/A</v>
      </c>
      <c r="E145" s="12" t="e">
        <f>_xlfn.XLOOKUP(Pályák!A145,Mars!A:A,Mars!E:E)&amp;""&amp;_xlfn.XLOOKUP(Pályák!A145,Mars!A:A,Mars!F:F)</f>
        <v>#N/A</v>
      </c>
      <c r="F145" s="12" t="e">
        <f>_xlfn.XLOOKUP(Pályák!A145,Mars!A:A,Mars!E:E)&amp;""&amp;_xlfn.XLOOKUP(Pályák!A145,Mars!A:A,Mars!G:G)</f>
        <v>#N/A</v>
      </c>
      <c r="G145" s="12" t="e">
        <f>_xlfn.XLOOKUP(Pályák!A145,Mars!A:A,Mars!E:E)&amp;""&amp;_xlfn.XLOOKUP(Pályák!A145,Mars!A:A,Mars!H:H)</f>
        <v>#N/A</v>
      </c>
    </row>
    <row r="146" spans="1:7" x14ac:dyDescent="0.25">
      <c r="A146" s="3">
        <v>44705</v>
      </c>
      <c r="B146" s="12" t="e">
        <f>_xlfn.XLOOKUP(Pályák!A146,Mars!A:A,Mars!B:B)</f>
        <v>#N/A</v>
      </c>
      <c r="C146" s="12" t="e">
        <f>_xlfn.XLOOKUP(Pályák!A146,Mars!A:A,Mars!C:C)</f>
        <v>#N/A</v>
      </c>
      <c r="D146" s="12" t="e">
        <f>_xlfn.XLOOKUP(Pályák!A146,Mars!A:A,Mars!D:D)</f>
        <v>#N/A</v>
      </c>
      <c r="E146" s="12" t="e">
        <f>_xlfn.XLOOKUP(Pályák!A146,Mars!A:A,Mars!E:E)&amp;""&amp;_xlfn.XLOOKUP(Pályák!A146,Mars!A:A,Mars!F:F)</f>
        <v>#N/A</v>
      </c>
      <c r="F146" s="12" t="e">
        <f>_xlfn.XLOOKUP(Pályák!A146,Mars!A:A,Mars!E:E)&amp;""&amp;_xlfn.XLOOKUP(Pályák!A146,Mars!A:A,Mars!G:G)</f>
        <v>#N/A</v>
      </c>
      <c r="G146" s="12" t="e">
        <f>_xlfn.XLOOKUP(Pályák!A146,Mars!A:A,Mars!E:E)&amp;""&amp;_xlfn.XLOOKUP(Pályák!A146,Mars!A:A,Mars!H:H)</f>
        <v>#N/A</v>
      </c>
    </row>
    <row r="147" spans="1:7" x14ac:dyDescent="0.25">
      <c r="A147" s="3">
        <v>44706</v>
      </c>
      <c r="B147" s="12" t="e">
        <f>_xlfn.XLOOKUP(Pályák!A147,Mars!A:A,Mars!B:B)</f>
        <v>#N/A</v>
      </c>
      <c r="C147" s="12" t="e">
        <f>_xlfn.XLOOKUP(Pályák!A147,Mars!A:A,Mars!C:C)</f>
        <v>#N/A</v>
      </c>
      <c r="D147" s="12" t="e">
        <f>_xlfn.XLOOKUP(Pályák!A147,Mars!A:A,Mars!D:D)</f>
        <v>#N/A</v>
      </c>
      <c r="E147" s="12" t="e">
        <f>_xlfn.XLOOKUP(Pályák!A147,Mars!A:A,Mars!E:E)&amp;""&amp;_xlfn.XLOOKUP(Pályák!A147,Mars!A:A,Mars!F:F)</f>
        <v>#N/A</v>
      </c>
      <c r="F147" s="12" t="e">
        <f>_xlfn.XLOOKUP(Pályák!A147,Mars!A:A,Mars!E:E)&amp;""&amp;_xlfn.XLOOKUP(Pályák!A147,Mars!A:A,Mars!G:G)</f>
        <v>#N/A</v>
      </c>
      <c r="G147" s="12" t="e">
        <f>_xlfn.XLOOKUP(Pályák!A147,Mars!A:A,Mars!E:E)&amp;""&amp;_xlfn.XLOOKUP(Pályák!A147,Mars!A:A,Mars!H:H)</f>
        <v>#N/A</v>
      </c>
    </row>
    <row r="148" spans="1:7" x14ac:dyDescent="0.25">
      <c r="A148" s="3">
        <v>44707</v>
      </c>
      <c r="B148" s="12" t="e">
        <f>_xlfn.XLOOKUP(Pályák!A148,Mars!A:A,Mars!B:B)</f>
        <v>#N/A</v>
      </c>
      <c r="C148" s="12" t="e">
        <f>_xlfn.XLOOKUP(Pályák!A148,Mars!A:A,Mars!C:C)</f>
        <v>#N/A</v>
      </c>
      <c r="D148" s="12" t="e">
        <f>_xlfn.XLOOKUP(Pályák!A148,Mars!A:A,Mars!D:D)</f>
        <v>#N/A</v>
      </c>
      <c r="E148" s="12" t="e">
        <f>_xlfn.XLOOKUP(Pályák!A148,Mars!A:A,Mars!E:E)&amp;""&amp;_xlfn.XLOOKUP(Pályák!A148,Mars!A:A,Mars!F:F)</f>
        <v>#N/A</v>
      </c>
      <c r="F148" s="12" t="e">
        <f>_xlfn.XLOOKUP(Pályák!A148,Mars!A:A,Mars!E:E)&amp;""&amp;_xlfn.XLOOKUP(Pályák!A148,Mars!A:A,Mars!G:G)</f>
        <v>#N/A</v>
      </c>
      <c r="G148" s="12" t="e">
        <f>_xlfn.XLOOKUP(Pályák!A148,Mars!A:A,Mars!E:E)&amp;""&amp;_xlfn.XLOOKUP(Pályák!A148,Mars!A:A,Mars!H:H)</f>
        <v>#N/A</v>
      </c>
    </row>
    <row r="149" spans="1:7" x14ac:dyDescent="0.25">
      <c r="A149" s="3">
        <v>44708</v>
      </c>
      <c r="B149" s="12" t="e">
        <f>_xlfn.XLOOKUP(Pályák!A149,Mars!A:A,Mars!B:B)</f>
        <v>#N/A</v>
      </c>
      <c r="C149" s="12" t="e">
        <f>_xlfn.XLOOKUP(Pályák!A149,Mars!A:A,Mars!C:C)</f>
        <v>#N/A</v>
      </c>
      <c r="D149" s="12" t="e">
        <f>_xlfn.XLOOKUP(Pályák!A149,Mars!A:A,Mars!D:D)</f>
        <v>#N/A</v>
      </c>
      <c r="E149" s="12" t="e">
        <f>_xlfn.XLOOKUP(Pályák!A149,Mars!A:A,Mars!E:E)&amp;""&amp;_xlfn.XLOOKUP(Pályák!A149,Mars!A:A,Mars!F:F)</f>
        <v>#N/A</v>
      </c>
      <c r="F149" s="12" t="e">
        <f>_xlfn.XLOOKUP(Pályák!A149,Mars!A:A,Mars!E:E)&amp;""&amp;_xlfn.XLOOKUP(Pályák!A149,Mars!A:A,Mars!G:G)</f>
        <v>#N/A</v>
      </c>
      <c r="G149" s="12" t="e">
        <f>_xlfn.XLOOKUP(Pályák!A149,Mars!A:A,Mars!E:E)&amp;""&amp;_xlfn.XLOOKUP(Pályák!A149,Mars!A:A,Mars!H:H)</f>
        <v>#N/A</v>
      </c>
    </row>
    <row r="150" spans="1:7" x14ac:dyDescent="0.25">
      <c r="A150" s="3">
        <v>44709</v>
      </c>
      <c r="B150" s="12" t="e">
        <f>_xlfn.XLOOKUP(Pályák!A150,Mars!A:A,Mars!B:B)</f>
        <v>#N/A</v>
      </c>
      <c r="C150" s="12" t="e">
        <f>_xlfn.XLOOKUP(Pályák!A150,Mars!A:A,Mars!C:C)</f>
        <v>#N/A</v>
      </c>
      <c r="D150" s="12" t="e">
        <f>_xlfn.XLOOKUP(Pályák!A150,Mars!A:A,Mars!D:D)</f>
        <v>#N/A</v>
      </c>
      <c r="E150" s="12" t="e">
        <f>_xlfn.XLOOKUP(Pályák!A150,Mars!A:A,Mars!E:E)&amp;""&amp;_xlfn.XLOOKUP(Pályák!A150,Mars!A:A,Mars!F:F)</f>
        <v>#N/A</v>
      </c>
      <c r="F150" s="12" t="e">
        <f>_xlfn.XLOOKUP(Pályák!A150,Mars!A:A,Mars!E:E)&amp;""&amp;_xlfn.XLOOKUP(Pályák!A150,Mars!A:A,Mars!G:G)</f>
        <v>#N/A</v>
      </c>
      <c r="G150" s="12" t="e">
        <f>_xlfn.XLOOKUP(Pályák!A150,Mars!A:A,Mars!E:E)&amp;""&amp;_xlfn.XLOOKUP(Pályák!A150,Mars!A:A,Mars!H:H)</f>
        <v>#N/A</v>
      </c>
    </row>
    <row r="151" spans="1:7" x14ac:dyDescent="0.25">
      <c r="A151" s="3">
        <v>44710</v>
      </c>
      <c r="B151" s="12" t="e">
        <f>_xlfn.XLOOKUP(Pályák!A151,Mars!A:A,Mars!B:B)</f>
        <v>#N/A</v>
      </c>
      <c r="C151" s="12" t="e">
        <f>_xlfn.XLOOKUP(Pályák!A151,Mars!A:A,Mars!C:C)</f>
        <v>#N/A</v>
      </c>
      <c r="D151" s="12" t="e">
        <f>_xlfn.XLOOKUP(Pályák!A151,Mars!A:A,Mars!D:D)</f>
        <v>#N/A</v>
      </c>
      <c r="E151" s="12" t="e">
        <f>_xlfn.XLOOKUP(Pályák!A151,Mars!A:A,Mars!E:E)&amp;""&amp;_xlfn.XLOOKUP(Pályák!A151,Mars!A:A,Mars!F:F)</f>
        <v>#N/A</v>
      </c>
      <c r="F151" s="12" t="e">
        <f>_xlfn.XLOOKUP(Pályák!A151,Mars!A:A,Mars!E:E)&amp;""&amp;_xlfn.XLOOKUP(Pályák!A151,Mars!A:A,Mars!G:G)</f>
        <v>#N/A</v>
      </c>
      <c r="G151" s="12" t="e">
        <f>_xlfn.XLOOKUP(Pályák!A151,Mars!A:A,Mars!E:E)&amp;""&amp;_xlfn.XLOOKUP(Pályák!A151,Mars!A:A,Mars!H:H)</f>
        <v>#N/A</v>
      </c>
    </row>
    <row r="152" spans="1:7" x14ac:dyDescent="0.25">
      <c r="A152" s="3">
        <v>44711</v>
      </c>
      <c r="B152" s="12" t="e">
        <f>_xlfn.XLOOKUP(Pályák!A152,Mars!A:A,Mars!B:B)</f>
        <v>#N/A</v>
      </c>
      <c r="C152" s="12" t="e">
        <f>_xlfn.XLOOKUP(Pályák!A152,Mars!A:A,Mars!C:C)</f>
        <v>#N/A</v>
      </c>
      <c r="D152" s="12" t="e">
        <f>_xlfn.XLOOKUP(Pályák!A152,Mars!A:A,Mars!D:D)</f>
        <v>#N/A</v>
      </c>
      <c r="E152" s="12" t="e">
        <f>_xlfn.XLOOKUP(Pályák!A152,Mars!A:A,Mars!E:E)&amp;""&amp;_xlfn.XLOOKUP(Pályák!A152,Mars!A:A,Mars!F:F)</f>
        <v>#N/A</v>
      </c>
      <c r="F152" s="12" t="e">
        <f>_xlfn.XLOOKUP(Pályák!A152,Mars!A:A,Mars!E:E)&amp;""&amp;_xlfn.XLOOKUP(Pályák!A152,Mars!A:A,Mars!G:G)</f>
        <v>#N/A</v>
      </c>
      <c r="G152" s="12" t="e">
        <f>_xlfn.XLOOKUP(Pályák!A152,Mars!A:A,Mars!E:E)&amp;""&amp;_xlfn.XLOOKUP(Pályák!A152,Mars!A:A,Mars!H:H)</f>
        <v>#N/A</v>
      </c>
    </row>
    <row r="153" spans="1:7" x14ac:dyDescent="0.25">
      <c r="A153" s="3">
        <v>44712</v>
      </c>
      <c r="B153" s="12" t="e">
        <f>_xlfn.XLOOKUP(Pályák!A153,Mars!A:A,Mars!B:B)</f>
        <v>#N/A</v>
      </c>
      <c r="C153" s="12" t="e">
        <f>_xlfn.XLOOKUP(Pályák!A153,Mars!A:A,Mars!C:C)</f>
        <v>#N/A</v>
      </c>
      <c r="D153" s="12" t="e">
        <f>_xlfn.XLOOKUP(Pályák!A153,Mars!A:A,Mars!D:D)</f>
        <v>#N/A</v>
      </c>
      <c r="E153" s="12" t="e">
        <f>_xlfn.XLOOKUP(Pályák!A153,Mars!A:A,Mars!E:E)&amp;""&amp;_xlfn.XLOOKUP(Pályák!A153,Mars!A:A,Mars!F:F)</f>
        <v>#N/A</v>
      </c>
      <c r="F153" s="12" t="e">
        <f>_xlfn.XLOOKUP(Pályák!A153,Mars!A:A,Mars!E:E)&amp;""&amp;_xlfn.XLOOKUP(Pályák!A153,Mars!A:A,Mars!G:G)</f>
        <v>#N/A</v>
      </c>
      <c r="G153" s="12" t="e">
        <f>_xlfn.XLOOKUP(Pályák!A153,Mars!A:A,Mars!E:E)&amp;""&amp;_xlfn.XLOOKUP(Pályák!A153,Mars!A:A,Mars!H:H)</f>
        <v>#N/A</v>
      </c>
    </row>
    <row r="154" spans="1:7" x14ac:dyDescent="0.25">
      <c r="A154" s="3">
        <v>44713</v>
      </c>
      <c r="B154" s="12" t="e">
        <f>_xlfn.XLOOKUP(Pályák!A154,Mars!A:A,Mars!B:B)</f>
        <v>#N/A</v>
      </c>
      <c r="C154" s="12" t="e">
        <f>_xlfn.XLOOKUP(Pályák!A154,Mars!A:A,Mars!C:C)</f>
        <v>#N/A</v>
      </c>
      <c r="D154" s="12" t="e">
        <f>_xlfn.XLOOKUP(Pályák!A154,Mars!A:A,Mars!D:D)</f>
        <v>#N/A</v>
      </c>
      <c r="E154" s="12" t="e">
        <f>_xlfn.XLOOKUP(Pályák!A154,Mars!A:A,Mars!E:E)&amp;""&amp;_xlfn.XLOOKUP(Pályák!A154,Mars!A:A,Mars!F:F)</f>
        <v>#N/A</v>
      </c>
      <c r="F154" s="12" t="e">
        <f>_xlfn.XLOOKUP(Pályák!A154,Mars!A:A,Mars!E:E)&amp;""&amp;_xlfn.XLOOKUP(Pályák!A154,Mars!A:A,Mars!G:G)</f>
        <v>#N/A</v>
      </c>
      <c r="G154" s="12" t="e">
        <f>_xlfn.XLOOKUP(Pályák!A154,Mars!A:A,Mars!E:E)&amp;""&amp;_xlfn.XLOOKUP(Pályák!A154,Mars!A:A,Mars!H:H)</f>
        <v>#N/A</v>
      </c>
    </row>
    <row r="155" spans="1:7" x14ac:dyDescent="0.25">
      <c r="A155" s="3">
        <v>44714</v>
      </c>
      <c r="B155" s="12" t="e">
        <f>_xlfn.XLOOKUP(Pályák!A155,Mars!A:A,Mars!B:B)</f>
        <v>#N/A</v>
      </c>
      <c r="C155" s="12" t="e">
        <f>_xlfn.XLOOKUP(Pályák!A155,Mars!A:A,Mars!C:C)</f>
        <v>#N/A</v>
      </c>
      <c r="D155" s="12" t="e">
        <f>_xlfn.XLOOKUP(Pályák!A155,Mars!A:A,Mars!D:D)</f>
        <v>#N/A</v>
      </c>
      <c r="E155" s="12" t="e">
        <f>_xlfn.XLOOKUP(Pályák!A155,Mars!A:A,Mars!E:E)&amp;""&amp;_xlfn.XLOOKUP(Pályák!A155,Mars!A:A,Mars!F:F)</f>
        <v>#N/A</v>
      </c>
      <c r="F155" s="12" t="e">
        <f>_xlfn.XLOOKUP(Pályák!A155,Mars!A:A,Mars!E:E)&amp;""&amp;_xlfn.XLOOKUP(Pályák!A155,Mars!A:A,Mars!G:G)</f>
        <v>#N/A</v>
      </c>
      <c r="G155" s="12" t="e">
        <f>_xlfn.XLOOKUP(Pályák!A155,Mars!A:A,Mars!E:E)&amp;""&amp;_xlfn.XLOOKUP(Pályák!A155,Mars!A:A,Mars!H:H)</f>
        <v>#N/A</v>
      </c>
    </row>
    <row r="156" spans="1:7" x14ac:dyDescent="0.25">
      <c r="A156" s="3">
        <v>44715</v>
      </c>
      <c r="B156" s="12" t="e">
        <f>_xlfn.XLOOKUP(Pályák!A156,Mars!A:A,Mars!B:B)</f>
        <v>#N/A</v>
      </c>
      <c r="C156" s="12" t="e">
        <f>_xlfn.XLOOKUP(Pályák!A156,Mars!A:A,Mars!C:C)</f>
        <v>#N/A</v>
      </c>
      <c r="D156" s="12" t="e">
        <f>_xlfn.XLOOKUP(Pályák!A156,Mars!A:A,Mars!D:D)</f>
        <v>#N/A</v>
      </c>
      <c r="E156" s="12" t="e">
        <f>_xlfn.XLOOKUP(Pályák!A156,Mars!A:A,Mars!E:E)&amp;""&amp;_xlfn.XLOOKUP(Pályák!A156,Mars!A:A,Mars!F:F)</f>
        <v>#N/A</v>
      </c>
      <c r="F156" s="12" t="e">
        <f>_xlfn.XLOOKUP(Pályák!A156,Mars!A:A,Mars!E:E)&amp;""&amp;_xlfn.XLOOKUP(Pályák!A156,Mars!A:A,Mars!G:G)</f>
        <v>#N/A</v>
      </c>
      <c r="G156" s="12" t="e">
        <f>_xlfn.XLOOKUP(Pályák!A156,Mars!A:A,Mars!E:E)&amp;""&amp;_xlfn.XLOOKUP(Pályák!A156,Mars!A:A,Mars!H:H)</f>
        <v>#N/A</v>
      </c>
    </row>
    <row r="157" spans="1:7" x14ac:dyDescent="0.25">
      <c r="A157" s="3">
        <v>44716</v>
      </c>
      <c r="B157" s="12" t="e">
        <f>_xlfn.XLOOKUP(Pályák!A157,Mars!A:A,Mars!B:B)</f>
        <v>#N/A</v>
      </c>
      <c r="C157" s="12" t="e">
        <f>_xlfn.XLOOKUP(Pályák!A157,Mars!A:A,Mars!C:C)</f>
        <v>#N/A</v>
      </c>
      <c r="D157" s="12" t="e">
        <f>_xlfn.XLOOKUP(Pályák!A157,Mars!A:A,Mars!D:D)</f>
        <v>#N/A</v>
      </c>
      <c r="E157" s="12" t="e">
        <f>_xlfn.XLOOKUP(Pályák!A157,Mars!A:A,Mars!E:E)&amp;""&amp;_xlfn.XLOOKUP(Pályák!A157,Mars!A:A,Mars!F:F)</f>
        <v>#N/A</v>
      </c>
      <c r="F157" s="12" t="e">
        <f>_xlfn.XLOOKUP(Pályák!A157,Mars!A:A,Mars!E:E)&amp;""&amp;_xlfn.XLOOKUP(Pályák!A157,Mars!A:A,Mars!G:G)</f>
        <v>#N/A</v>
      </c>
      <c r="G157" s="12" t="e">
        <f>_xlfn.XLOOKUP(Pályák!A157,Mars!A:A,Mars!E:E)&amp;""&amp;_xlfn.XLOOKUP(Pályák!A157,Mars!A:A,Mars!H:H)</f>
        <v>#N/A</v>
      </c>
    </row>
    <row r="158" spans="1:7" x14ac:dyDescent="0.25">
      <c r="A158" s="3">
        <v>44717</v>
      </c>
      <c r="B158" s="12" t="e">
        <f>_xlfn.XLOOKUP(Pályák!A158,Mars!A:A,Mars!B:B)</f>
        <v>#N/A</v>
      </c>
      <c r="C158" s="12" t="e">
        <f>_xlfn.XLOOKUP(Pályák!A158,Mars!A:A,Mars!C:C)</f>
        <v>#N/A</v>
      </c>
      <c r="D158" s="12" t="e">
        <f>_xlfn.XLOOKUP(Pályák!A158,Mars!A:A,Mars!D:D)</f>
        <v>#N/A</v>
      </c>
      <c r="E158" s="12" t="e">
        <f>_xlfn.XLOOKUP(Pályák!A158,Mars!A:A,Mars!E:E)&amp;""&amp;_xlfn.XLOOKUP(Pályák!A158,Mars!A:A,Mars!F:F)</f>
        <v>#N/A</v>
      </c>
      <c r="F158" s="12" t="e">
        <f>_xlfn.XLOOKUP(Pályák!A158,Mars!A:A,Mars!E:E)&amp;""&amp;_xlfn.XLOOKUP(Pályák!A158,Mars!A:A,Mars!G:G)</f>
        <v>#N/A</v>
      </c>
      <c r="G158" s="12" t="e">
        <f>_xlfn.XLOOKUP(Pályák!A158,Mars!A:A,Mars!E:E)&amp;""&amp;_xlfn.XLOOKUP(Pályák!A158,Mars!A:A,Mars!H:H)</f>
        <v>#N/A</v>
      </c>
    </row>
    <row r="159" spans="1:7" x14ac:dyDescent="0.25">
      <c r="A159" s="3">
        <v>44718</v>
      </c>
      <c r="B159" s="12" t="e">
        <f>_xlfn.XLOOKUP(Pályák!A159,Mars!A:A,Mars!B:B)</f>
        <v>#N/A</v>
      </c>
      <c r="C159" s="12" t="e">
        <f>_xlfn.XLOOKUP(Pályák!A159,Mars!A:A,Mars!C:C)</f>
        <v>#N/A</v>
      </c>
      <c r="D159" s="12" t="e">
        <f>_xlfn.XLOOKUP(Pályák!A159,Mars!A:A,Mars!D:D)</f>
        <v>#N/A</v>
      </c>
      <c r="E159" s="12" t="e">
        <f>_xlfn.XLOOKUP(Pályák!A159,Mars!A:A,Mars!E:E)&amp;""&amp;_xlfn.XLOOKUP(Pályák!A159,Mars!A:A,Mars!F:F)</f>
        <v>#N/A</v>
      </c>
      <c r="F159" s="12" t="e">
        <f>_xlfn.XLOOKUP(Pályák!A159,Mars!A:A,Mars!E:E)&amp;""&amp;_xlfn.XLOOKUP(Pályák!A159,Mars!A:A,Mars!G:G)</f>
        <v>#N/A</v>
      </c>
      <c r="G159" s="12" t="e">
        <f>_xlfn.XLOOKUP(Pályák!A159,Mars!A:A,Mars!E:E)&amp;""&amp;_xlfn.XLOOKUP(Pályák!A159,Mars!A:A,Mars!H:H)</f>
        <v>#N/A</v>
      </c>
    </row>
    <row r="160" spans="1:7" x14ac:dyDescent="0.25">
      <c r="A160" s="3">
        <v>44719</v>
      </c>
      <c r="B160" s="12" t="e">
        <f>_xlfn.XLOOKUP(Pályák!A160,Mars!A:A,Mars!B:B)</f>
        <v>#N/A</v>
      </c>
      <c r="C160" s="12" t="e">
        <f>_xlfn.XLOOKUP(Pályák!A160,Mars!A:A,Mars!C:C)</f>
        <v>#N/A</v>
      </c>
      <c r="D160" s="12" t="e">
        <f>_xlfn.XLOOKUP(Pályák!A160,Mars!A:A,Mars!D:D)</f>
        <v>#N/A</v>
      </c>
      <c r="E160" s="12" t="e">
        <f>_xlfn.XLOOKUP(Pályák!A160,Mars!A:A,Mars!E:E)&amp;""&amp;_xlfn.XLOOKUP(Pályák!A160,Mars!A:A,Mars!F:F)</f>
        <v>#N/A</v>
      </c>
      <c r="F160" s="12" t="e">
        <f>_xlfn.XLOOKUP(Pályák!A160,Mars!A:A,Mars!E:E)&amp;""&amp;_xlfn.XLOOKUP(Pályák!A160,Mars!A:A,Mars!G:G)</f>
        <v>#N/A</v>
      </c>
      <c r="G160" s="12" t="e">
        <f>_xlfn.XLOOKUP(Pályák!A160,Mars!A:A,Mars!E:E)&amp;""&amp;_xlfn.XLOOKUP(Pályák!A160,Mars!A:A,Mars!H:H)</f>
        <v>#N/A</v>
      </c>
    </row>
    <row r="161" spans="1:7" x14ac:dyDescent="0.25">
      <c r="A161" s="3">
        <v>44720</v>
      </c>
      <c r="B161" s="12" t="e">
        <f>_xlfn.XLOOKUP(Pályák!A161,Mars!A:A,Mars!B:B)</f>
        <v>#N/A</v>
      </c>
      <c r="C161" s="12" t="e">
        <f>_xlfn.XLOOKUP(Pályák!A161,Mars!A:A,Mars!C:C)</f>
        <v>#N/A</v>
      </c>
      <c r="D161" s="12" t="e">
        <f>_xlfn.XLOOKUP(Pályák!A161,Mars!A:A,Mars!D:D)</f>
        <v>#N/A</v>
      </c>
      <c r="E161" s="12" t="e">
        <f>_xlfn.XLOOKUP(Pályák!A161,Mars!A:A,Mars!E:E)&amp;""&amp;_xlfn.XLOOKUP(Pályák!A161,Mars!A:A,Mars!F:F)</f>
        <v>#N/A</v>
      </c>
      <c r="F161" s="12" t="e">
        <f>_xlfn.XLOOKUP(Pályák!A161,Mars!A:A,Mars!E:E)&amp;""&amp;_xlfn.XLOOKUP(Pályák!A161,Mars!A:A,Mars!G:G)</f>
        <v>#N/A</v>
      </c>
      <c r="G161" s="12" t="e">
        <f>_xlfn.XLOOKUP(Pályák!A161,Mars!A:A,Mars!E:E)&amp;""&amp;_xlfn.XLOOKUP(Pályák!A161,Mars!A:A,Mars!H:H)</f>
        <v>#N/A</v>
      </c>
    </row>
    <row r="162" spans="1:7" x14ac:dyDescent="0.25">
      <c r="A162" s="3">
        <v>44721</v>
      </c>
      <c r="B162" s="12" t="e">
        <f>_xlfn.XLOOKUP(Pályák!A162,Mars!A:A,Mars!B:B)</f>
        <v>#N/A</v>
      </c>
      <c r="C162" s="12" t="e">
        <f>_xlfn.XLOOKUP(Pályák!A162,Mars!A:A,Mars!C:C)</f>
        <v>#N/A</v>
      </c>
      <c r="D162" s="12" t="e">
        <f>_xlfn.XLOOKUP(Pályák!A162,Mars!A:A,Mars!D:D)</f>
        <v>#N/A</v>
      </c>
      <c r="E162" s="12" t="e">
        <f>_xlfn.XLOOKUP(Pályák!A162,Mars!A:A,Mars!E:E)&amp;""&amp;_xlfn.XLOOKUP(Pályák!A162,Mars!A:A,Mars!F:F)</f>
        <v>#N/A</v>
      </c>
      <c r="F162" s="12" t="e">
        <f>_xlfn.XLOOKUP(Pályák!A162,Mars!A:A,Mars!E:E)&amp;""&amp;_xlfn.XLOOKUP(Pályák!A162,Mars!A:A,Mars!G:G)</f>
        <v>#N/A</v>
      </c>
      <c r="G162" s="12" t="e">
        <f>_xlfn.XLOOKUP(Pályák!A162,Mars!A:A,Mars!E:E)&amp;""&amp;_xlfn.XLOOKUP(Pályák!A162,Mars!A:A,Mars!H:H)</f>
        <v>#N/A</v>
      </c>
    </row>
    <row r="163" spans="1:7" x14ac:dyDescent="0.25">
      <c r="A163" s="3">
        <v>44722</v>
      </c>
      <c r="B163" s="12" t="e">
        <f>_xlfn.XLOOKUP(Pályák!A163,Mars!A:A,Mars!B:B)</f>
        <v>#N/A</v>
      </c>
      <c r="C163" s="12" t="e">
        <f>_xlfn.XLOOKUP(Pályák!A163,Mars!A:A,Mars!C:C)</f>
        <v>#N/A</v>
      </c>
      <c r="D163" s="12" t="e">
        <f>_xlfn.XLOOKUP(Pályák!A163,Mars!A:A,Mars!D:D)</f>
        <v>#N/A</v>
      </c>
      <c r="E163" s="12" t="e">
        <f>_xlfn.XLOOKUP(Pályák!A163,Mars!A:A,Mars!E:E)&amp;""&amp;_xlfn.XLOOKUP(Pályák!A163,Mars!A:A,Mars!F:F)</f>
        <v>#N/A</v>
      </c>
      <c r="F163" s="12" t="e">
        <f>_xlfn.XLOOKUP(Pályák!A163,Mars!A:A,Mars!E:E)&amp;""&amp;_xlfn.XLOOKUP(Pályák!A163,Mars!A:A,Mars!G:G)</f>
        <v>#N/A</v>
      </c>
      <c r="G163" s="12" t="e">
        <f>_xlfn.XLOOKUP(Pályák!A163,Mars!A:A,Mars!E:E)&amp;""&amp;_xlfn.XLOOKUP(Pályák!A163,Mars!A:A,Mars!H:H)</f>
        <v>#N/A</v>
      </c>
    </row>
    <row r="164" spans="1:7" x14ac:dyDescent="0.25">
      <c r="A164" s="3">
        <v>44723</v>
      </c>
      <c r="B164" s="12" t="e">
        <f>_xlfn.XLOOKUP(Pályák!A164,Mars!A:A,Mars!B:B)</f>
        <v>#N/A</v>
      </c>
      <c r="C164" s="12" t="e">
        <f>_xlfn.XLOOKUP(Pályák!A164,Mars!A:A,Mars!C:C)</f>
        <v>#N/A</v>
      </c>
      <c r="D164" s="12" t="e">
        <f>_xlfn.XLOOKUP(Pályák!A164,Mars!A:A,Mars!D:D)</f>
        <v>#N/A</v>
      </c>
      <c r="E164" s="12" t="e">
        <f>_xlfn.XLOOKUP(Pályák!A164,Mars!A:A,Mars!E:E)&amp;""&amp;_xlfn.XLOOKUP(Pályák!A164,Mars!A:A,Mars!F:F)</f>
        <v>#N/A</v>
      </c>
      <c r="F164" s="12" t="e">
        <f>_xlfn.XLOOKUP(Pályák!A164,Mars!A:A,Mars!E:E)&amp;""&amp;_xlfn.XLOOKUP(Pályák!A164,Mars!A:A,Mars!G:G)</f>
        <v>#N/A</v>
      </c>
      <c r="G164" s="12" t="e">
        <f>_xlfn.XLOOKUP(Pályák!A164,Mars!A:A,Mars!E:E)&amp;""&amp;_xlfn.XLOOKUP(Pályák!A164,Mars!A:A,Mars!H:H)</f>
        <v>#N/A</v>
      </c>
    </row>
    <row r="165" spans="1:7" x14ac:dyDescent="0.25">
      <c r="A165" s="3">
        <v>44724</v>
      </c>
      <c r="B165" s="12" t="e">
        <f>_xlfn.XLOOKUP(Pályák!A165,Mars!A:A,Mars!B:B)</f>
        <v>#N/A</v>
      </c>
      <c r="C165" s="12" t="e">
        <f>_xlfn.XLOOKUP(Pályák!A165,Mars!A:A,Mars!C:C)</f>
        <v>#N/A</v>
      </c>
      <c r="D165" s="12" t="e">
        <f>_xlfn.XLOOKUP(Pályák!A165,Mars!A:A,Mars!D:D)</f>
        <v>#N/A</v>
      </c>
      <c r="E165" s="12" t="e">
        <f>_xlfn.XLOOKUP(Pályák!A165,Mars!A:A,Mars!E:E)&amp;""&amp;_xlfn.XLOOKUP(Pályák!A165,Mars!A:A,Mars!F:F)</f>
        <v>#N/A</v>
      </c>
      <c r="F165" s="12" t="e">
        <f>_xlfn.XLOOKUP(Pályák!A165,Mars!A:A,Mars!E:E)&amp;""&amp;_xlfn.XLOOKUP(Pályák!A165,Mars!A:A,Mars!G:G)</f>
        <v>#N/A</v>
      </c>
      <c r="G165" s="12" t="e">
        <f>_xlfn.XLOOKUP(Pályák!A165,Mars!A:A,Mars!E:E)&amp;""&amp;_xlfn.XLOOKUP(Pályák!A165,Mars!A:A,Mars!H:H)</f>
        <v>#N/A</v>
      </c>
    </row>
    <row r="166" spans="1:7" x14ac:dyDescent="0.25">
      <c r="A166" s="3">
        <v>44725</v>
      </c>
      <c r="B166" s="12" t="e">
        <f>_xlfn.XLOOKUP(Pályák!A166,Mars!A:A,Mars!B:B)</f>
        <v>#N/A</v>
      </c>
      <c r="C166" s="12" t="e">
        <f>_xlfn.XLOOKUP(Pályák!A166,Mars!A:A,Mars!C:C)</f>
        <v>#N/A</v>
      </c>
      <c r="D166" s="12" t="e">
        <f>_xlfn.XLOOKUP(Pályák!A166,Mars!A:A,Mars!D:D)</f>
        <v>#N/A</v>
      </c>
      <c r="E166" s="12" t="e">
        <f>_xlfn.XLOOKUP(Pályák!A166,Mars!A:A,Mars!E:E)&amp;""&amp;_xlfn.XLOOKUP(Pályák!A166,Mars!A:A,Mars!F:F)</f>
        <v>#N/A</v>
      </c>
      <c r="F166" s="12" t="e">
        <f>_xlfn.XLOOKUP(Pályák!A166,Mars!A:A,Mars!E:E)&amp;""&amp;_xlfn.XLOOKUP(Pályák!A166,Mars!A:A,Mars!G:G)</f>
        <v>#N/A</v>
      </c>
      <c r="G166" s="12" t="e">
        <f>_xlfn.XLOOKUP(Pályák!A166,Mars!A:A,Mars!E:E)&amp;""&amp;_xlfn.XLOOKUP(Pályák!A166,Mars!A:A,Mars!H:H)</f>
        <v>#N/A</v>
      </c>
    </row>
    <row r="167" spans="1:7" x14ac:dyDescent="0.25">
      <c r="A167" s="3">
        <v>44726</v>
      </c>
      <c r="B167" s="12" t="e">
        <f>_xlfn.XLOOKUP(Pályák!A167,Mars!A:A,Mars!B:B)</f>
        <v>#N/A</v>
      </c>
      <c r="C167" s="12" t="e">
        <f>_xlfn.XLOOKUP(Pályák!A167,Mars!A:A,Mars!C:C)</f>
        <v>#N/A</v>
      </c>
      <c r="D167" s="12" t="e">
        <f>_xlfn.XLOOKUP(Pályák!A167,Mars!A:A,Mars!D:D)</f>
        <v>#N/A</v>
      </c>
      <c r="E167" s="12" t="e">
        <f>_xlfn.XLOOKUP(Pályák!A167,Mars!A:A,Mars!E:E)&amp;""&amp;_xlfn.XLOOKUP(Pályák!A167,Mars!A:A,Mars!F:F)</f>
        <v>#N/A</v>
      </c>
      <c r="F167" s="12" t="e">
        <f>_xlfn.XLOOKUP(Pályák!A167,Mars!A:A,Mars!E:E)&amp;""&amp;_xlfn.XLOOKUP(Pályák!A167,Mars!A:A,Mars!G:G)</f>
        <v>#N/A</v>
      </c>
      <c r="G167" s="12" t="e">
        <f>_xlfn.XLOOKUP(Pályák!A167,Mars!A:A,Mars!E:E)&amp;""&amp;_xlfn.XLOOKUP(Pályák!A167,Mars!A:A,Mars!H:H)</f>
        <v>#N/A</v>
      </c>
    </row>
    <row r="168" spans="1:7" x14ac:dyDescent="0.25">
      <c r="A168" s="3">
        <v>44727</v>
      </c>
      <c r="B168" s="12" t="e">
        <f>_xlfn.XLOOKUP(Pályák!A168,Mars!A:A,Mars!B:B)</f>
        <v>#N/A</v>
      </c>
      <c r="C168" s="12" t="e">
        <f>_xlfn.XLOOKUP(Pályák!A168,Mars!A:A,Mars!C:C)</f>
        <v>#N/A</v>
      </c>
      <c r="D168" s="12" t="e">
        <f>_xlfn.XLOOKUP(Pályák!A168,Mars!A:A,Mars!D:D)</f>
        <v>#N/A</v>
      </c>
      <c r="E168" s="12" t="e">
        <f>_xlfn.XLOOKUP(Pályák!A168,Mars!A:A,Mars!E:E)&amp;""&amp;_xlfn.XLOOKUP(Pályák!A168,Mars!A:A,Mars!F:F)</f>
        <v>#N/A</v>
      </c>
      <c r="F168" s="12" t="e">
        <f>_xlfn.XLOOKUP(Pályák!A168,Mars!A:A,Mars!E:E)&amp;""&amp;_xlfn.XLOOKUP(Pályák!A168,Mars!A:A,Mars!G:G)</f>
        <v>#N/A</v>
      </c>
      <c r="G168" s="12" t="e">
        <f>_xlfn.XLOOKUP(Pályák!A168,Mars!A:A,Mars!E:E)&amp;""&amp;_xlfn.XLOOKUP(Pályák!A168,Mars!A:A,Mars!H:H)</f>
        <v>#N/A</v>
      </c>
    </row>
    <row r="169" spans="1:7" x14ac:dyDescent="0.25">
      <c r="A169" s="3">
        <v>44728</v>
      </c>
      <c r="B169" s="12" t="e">
        <f>_xlfn.XLOOKUP(Pályák!A169,Mars!A:A,Mars!B:B)</f>
        <v>#N/A</v>
      </c>
      <c r="C169" s="12" t="e">
        <f>_xlfn.XLOOKUP(Pályák!A169,Mars!A:A,Mars!C:C)</f>
        <v>#N/A</v>
      </c>
      <c r="D169" s="12" t="e">
        <f>_xlfn.XLOOKUP(Pályák!A169,Mars!A:A,Mars!D:D)</f>
        <v>#N/A</v>
      </c>
      <c r="E169" s="12" t="e">
        <f>_xlfn.XLOOKUP(Pályák!A169,Mars!A:A,Mars!E:E)&amp;""&amp;_xlfn.XLOOKUP(Pályák!A169,Mars!A:A,Mars!F:F)</f>
        <v>#N/A</v>
      </c>
      <c r="F169" s="12" t="e">
        <f>_xlfn.XLOOKUP(Pályák!A169,Mars!A:A,Mars!E:E)&amp;""&amp;_xlfn.XLOOKUP(Pályák!A169,Mars!A:A,Mars!G:G)</f>
        <v>#N/A</v>
      </c>
      <c r="G169" s="12" t="e">
        <f>_xlfn.XLOOKUP(Pályák!A169,Mars!A:A,Mars!E:E)&amp;""&amp;_xlfn.XLOOKUP(Pályák!A169,Mars!A:A,Mars!H:H)</f>
        <v>#N/A</v>
      </c>
    </row>
    <row r="170" spans="1:7" x14ac:dyDescent="0.25">
      <c r="A170" s="3">
        <v>44729</v>
      </c>
      <c r="B170" s="12" t="e">
        <f>_xlfn.XLOOKUP(Pályák!A170,Mars!A:A,Mars!B:B)</f>
        <v>#N/A</v>
      </c>
      <c r="C170" s="12" t="e">
        <f>_xlfn.XLOOKUP(Pályák!A170,Mars!A:A,Mars!C:C)</f>
        <v>#N/A</v>
      </c>
      <c r="D170" s="12" t="e">
        <f>_xlfn.XLOOKUP(Pályák!A170,Mars!A:A,Mars!D:D)</f>
        <v>#N/A</v>
      </c>
      <c r="E170" s="12" t="e">
        <f>_xlfn.XLOOKUP(Pályák!A170,Mars!A:A,Mars!E:E)&amp;""&amp;_xlfn.XLOOKUP(Pályák!A170,Mars!A:A,Mars!F:F)</f>
        <v>#N/A</v>
      </c>
      <c r="F170" s="12" t="e">
        <f>_xlfn.XLOOKUP(Pályák!A170,Mars!A:A,Mars!E:E)&amp;""&amp;_xlfn.XLOOKUP(Pályák!A170,Mars!A:A,Mars!G:G)</f>
        <v>#N/A</v>
      </c>
      <c r="G170" s="12" t="e">
        <f>_xlfn.XLOOKUP(Pályák!A170,Mars!A:A,Mars!E:E)&amp;""&amp;_xlfn.XLOOKUP(Pályák!A170,Mars!A:A,Mars!H:H)</f>
        <v>#N/A</v>
      </c>
    </row>
    <row r="171" spans="1:7" x14ac:dyDescent="0.25">
      <c r="A171" s="3">
        <v>44730</v>
      </c>
      <c r="B171" s="12" t="e">
        <f>_xlfn.XLOOKUP(Pályák!A171,Mars!A:A,Mars!B:B)</f>
        <v>#N/A</v>
      </c>
      <c r="C171" s="12" t="e">
        <f>_xlfn.XLOOKUP(Pályák!A171,Mars!A:A,Mars!C:C)</f>
        <v>#N/A</v>
      </c>
      <c r="D171" s="12" t="e">
        <f>_xlfn.XLOOKUP(Pályák!A171,Mars!A:A,Mars!D:D)</f>
        <v>#N/A</v>
      </c>
      <c r="E171" s="12" t="e">
        <f>_xlfn.XLOOKUP(Pályák!A171,Mars!A:A,Mars!E:E)&amp;""&amp;_xlfn.XLOOKUP(Pályák!A171,Mars!A:A,Mars!F:F)</f>
        <v>#N/A</v>
      </c>
      <c r="F171" s="12" t="e">
        <f>_xlfn.XLOOKUP(Pályák!A171,Mars!A:A,Mars!E:E)&amp;""&amp;_xlfn.XLOOKUP(Pályák!A171,Mars!A:A,Mars!G:G)</f>
        <v>#N/A</v>
      </c>
      <c r="G171" s="12" t="e">
        <f>_xlfn.XLOOKUP(Pályák!A171,Mars!A:A,Mars!E:E)&amp;""&amp;_xlfn.XLOOKUP(Pályák!A171,Mars!A:A,Mars!H:H)</f>
        <v>#N/A</v>
      </c>
    </row>
    <row r="172" spans="1:7" x14ac:dyDescent="0.25">
      <c r="A172" s="3">
        <v>44731</v>
      </c>
      <c r="B172" s="12" t="e">
        <f>_xlfn.XLOOKUP(Pályák!A172,Mars!A:A,Mars!B:B)</f>
        <v>#N/A</v>
      </c>
      <c r="C172" s="12" t="e">
        <f>_xlfn.XLOOKUP(Pályák!A172,Mars!A:A,Mars!C:C)</f>
        <v>#N/A</v>
      </c>
      <c r="D172" s="12" t="e">
        <f>_xlfn.XLOOKUP(Pályák!A172,Mars!A:A,Mars!D:D)</f>
        <v>#N/A</v>
      </c>
      <c r="E172" s="12" t="e">
        <f>_xlfn.XLOOKUP(Pályák!A172,Mars!A:A,Mars!E:E)&amp;""&amp;_xlfn.XLOOKUP(Pályák!A172,Mars!A:A,Mars!F:F)</f>
        <v>#N/A</v>
      </c>
      <c r="F172" s="12" t="e">
        <f>_xlfn.XLOOKUP(Pályák!A172,Mars!A:A,Mars!E:E)&amp;""&amp;_xlfn.XLOOKUP(Pályák!A172,Mars!A:A,Mars!G:G)</f>
        <v>#N/A</v>
      </c>
      <c r="G172" s="12" t="e">
        <f>_xlfn.XLOOKUP(Pályák!A172,Mars!A:A,Mars!E:E)&amp;""&amp;_xlfn.XLOOKUP(Pályák!A172,Mars!A:A,Mars!H:H)</f>
        <v>#N/A</v>
      </c>
    </row>
    <row r="173" spans="1:7" x14ac:dyDescent="0.25">
      <c r="A173" s="3">
        <v>44732</v>
      </c>
      <c r="B173" s="12" t="e">
        <f>_xlfn.XLOOKUP(Pályák!A173,Mars!A:A,Mars!B:B)</f>
        <v>#N/A</v>
      </c>
      <c r="C173" s="12" t="e">
        <f>_xlfn.XLOOKUP(Pályák!A173,Mars!A:A,Mars!C:C)</f>
        <v>#N/A</v>
      </c>
      <c r="D173" s="12" t="e">
        <f>_xlfn.XLOOKUP(Pályák!A173,Mars!A:A,Mars!D:D)</f>
        <v>#N/A</v>
      </c>
      <c r="E173" s="12" t="e">
        <f>_xlfn.XLOOKUP(Pályák!A173,Mars!A:A,Mars!E:E)&amp;""&amp;_xlfn.XLOOKUP(Pályák!A173,Mars!A:A,Mars!F:F)</f>
        <v>#N/A</v>
      </c>
      <c r="F173" s="12" t="e">
        <f>_xlfn.XLOOKUP(Pályák!A173,Mars!A:A,Mars!E:E)&amp;""&amp;_xlfn.XLOOKUP(Pályák!A173,Mars!A:A,Mars!G:G)</f>
        <v>#N/A</v>
      </c>
      <c r="G173" s="12" t="e">
        <f>_xlfn.XLOOKUP(Pályák!A173,Mars!A:A,Mars!E:E)&amp;""&amp;_xlfn.XLOOKUP(Pályák!A173,Mars!A:A,Mars!H:H)</f>
        <v>#N/A</v>
      </c>
    </row>
    <row r="174" spans="1:7" x14ac:dyDescent="0.25">
      <c r="A174" s="3">
        <v>44733</v>
      </c>
      <c r="B174" s="12" t="e">
        <f>_xlfn.XLOOKUP(Pályák!A174,Mars!A:A,Mars!B:B)</f>
        <v>#N/A</v>
      </c>
      <c r="C174" s="12" t="e">
        <f>_xlfn.XLOOKUP(Pályák!A174,Mars!A:A,Mars!C:C)</f>
        <v>#N/A</v>
      </c>
      <c r="D174" s="12" t="e">
        <f>_xlfn.XLOOKUP(Pályák!A174,Mars!A:A,Mars!D:D)</f>
        <v>#N/A</v>
      </c>
      <c r="E174" s="12" t="e">
        <f>_xlfn.XLOOKUP(Pályák!A174,Mars!A:A,Mars!E:E)&amp;""&amp;_xlfn.XLOOKUP(Pályák!A174,Mars!A:A,Mars!F:F)</f>
        <v>#N/A</v>
      </c>
      <c r="F174" s="12" t="e">
        <f>_xlfn.XLOOKUP(Pályák!A174,Mars!A:A,Mars!E:E)&amp;""&amp;_xlfn.XLOOKUP(Pályák!A174,Mars!A:A,Mars!G:G)</f>
        <v>#N/A</v>
      </c>
      <c r="G174" s="12" t="e">
        <f>_xlfn.XLOOKUP(Pályák!A174,Mars!A:A,Mars!E:E)&amp;""&amp;_xlfn.XLOOKUP(Pályák!A174,Mars!A:A,Mars!H:H)</f>
        <v>#N/A</v>
      </c>
    </row>
    <row r="175" spans="1:7" x14ac:dyDescent="0.25">
      <c r="A175" s="3">
        <v>44734</v>
      </c>
      <c r="B175" s="12" t="e">
        <f>_xlfn.XLOOKUP(Pályák!A175,Mars!A:A,Mars!B:B)</f>
        <v>#N/A</v>
      </c>
      <c r="C175" s="12" t="e">
        <f>_xlfn.XLOOKUP(Pályák!A175,Mars!A:A,Mars!C:C)</f>
        <v>#N/A</v>
      </c>
      <c r="D175" s="12" t="e">
        <f>_xlfn.XLOOKUP(Pályák!A175,Mars!A:A,Mars!D:D)</f>
        <v>#N/A</v>
      </c>
      <c r="E175" s="12" t="e">
        <f>_xlfn.XLOOKUP(Pályák!A175,Mars!A:A,Mars!E:E)&amp;""&amp;_xlfn.XLOOKUP(Pályák!A175,Mars!A:A,Mars!F:F)</f>
        <v>#N/A</v>
      </c>
      <c r="F175" s="12" t="e">
        <f>_xlfn.XLOOKUP(Pályák!A175,Mars!A:A,Mars!E:E)&amp;""&amp;_xlfn.XLOOKUP(Pályák!A175,Mars!A:A,Mars!G:G)</f>
        <v>#N/A</v>
      </c>
      <c r="G175" s="12" t="e">
        <f>_xlfn.XLOOKUP(Pályák!A175,Mars!A:A,Mars!E:E)&amp;""&amp;_xlfn.XLOOKUP(Pályák!A175,Mars!A:A,Mars!H:H)</f>
        <v>#N/A</v>
      </c>
    </row>
    <row r="176" spans="1:7" x14ac:dyDescent="0.25">
      <c r="A176" s="3">
        <v>44735</v>
      </c>
      <c r="B176" s="12" t="e">
        <f>_xlfn.XLOOKUP(Pályák!A176,Mars!A:A,Mars!B:B)</f>
        <v>#N/A</v>
      </c>
      <c r="C176" s="12" t="e">
        <f>_xlfn.XLOOKUP(Pályák!A176,Mars!A:A,Mars!C:C)</f>
        <v>#N/A</v>
      </c>
      <c r="D176" s="12" t="e">
        <f>_xlfn.XLOOKUP(Pályák!A176,Mars!A:A,Mars!D:D)</f>
        <v>#N/A</v>
      </c>
      <c r="E176" s="12" t="e">
        <f>_xlfn.XLOOKUP(Pályák!A176,Mars!A:A,Mars!E:E)&amp;""&amp;_xlfn.XLOOKUP(Pályák!A176,Mars!A:A,Mars!F:F)</f>
        <v>#N/A</v>
      </c>
      <c r="F176" s="12" t="e">
        <f>_xlfn.XLOOKUP(Pályák!A176,Mars!A:A,Mars!E:E)&amp;""&amp;_xlfn.XLOOKUP(Pályák!A176,Mars!A:A,Mars!G:G)</f>
        <v>#N/A</v>
      </c>
      <c r="G176" s="12" t="e">
        <f>_xlfn.XLOOKUP(Pályák!A176,Mars!A:A,Mars!E:E)&amp;""&amp;_xlfn.XLOOKUP(Pályák!A176,Mars!A:A,Mars!H:H)</f>
        <v>#N/A</v>
      </c>
    </row>
    <row r="177" spans="1:7" x14ac:dyDescent="0.25">
      <c r="A177" s="3">
        <v>44736</v>
      </c>
      <c r="B177" s="12" t="e">
        <f>_xlfn.XLOOKUP(Pályák!A177,Mars!A:A,Mars!B:B)</f>
        <v>#N/A</v>
      </c>
      <c r="C177" s="12" t="e">
        <f>_xlfn.XLOOKUP(Pályák!A177,Mars!A:A,Mars!C:C)</f>
        <v>#N/A</v>
      </c>
      <c r="D177" s="12" t="e">
        <f>_xlfn.XLOOKUP(Pályák!A177,Mars!A:A,Mars!D:D)</f>
        <v>#N/A</v>
      </c>
      <c r="E177" s="12" t="e">
        <f>_xlfn.XLOOKUP(Pályák!A177,Mars!A:A,Mars!E:E)&amp;""&amp;_xlfn.XLOOKUP(Pályák!A177,Mars!A:A,Mars!F:F)</f>
        <v>#N/A</v>
      </c>
      <c r="F177" s="12" t="e">
        <f>_xlfn.XLOOKUP(Pályák!A177,Mars!A:A,Mars!E:E)&amp;""&amp;_xlfn.XLOOKUP(Pályák!A177,Mars!A:A,Mars!G:G)</f>
        <v>#N/A</v>
      </c>
      <c r="G177" s="12" t="e">
        <f>_xlfn.XLOOKUP(Pályák!A177,Mars!A:A,Mars!E:E)&amp;""&amp;_xlfn.XLOOKUP(Pályák!A177,Mars!A:A,Mars!H:H)</f>
        <v>#N/A</v>
      </c>
    </row>
    <row r="178" spans="1:7" x14ac:dyDescent="0.25">
      <c r="A178" s="3">
        <v>44737</v>
      </c>
      <c r="B178" s="12" t="e">
        <f>_xlfn.XLOOKUP(Pályák!A178,Mars!A:A,Mars!B:B)</f>
        <v>#N/A</v>
      </c>
      <c r="C178" s="12" t="e">
        <f>_xlfn.XLOOKUP(Pályák!A178,Mars!A:A,Mars!C:C)</f>
        <v>#N/A</v>
      </c>
      <c r="D178" s="12" t="e">
        <f>_xlfn.XLOOKUP(Pályák!A178,Mars!A:A,Mars!D:D)</f>
        <v>#N/A</v>
      </c>
      <c r="E178" s="12" t="e">
        <f>_xlfn.XLOOKUP(Pályák!A178,Mars!A:A,Mars!E:E)&amp;""&amp;_xlfn.XLOOKUP(Pályák!A178,Mars!A:A,Mars!F:F)</f>
        <v>#N/A</v>
      </c>
      <c r="F178" s="12" t="e">
        <f>_xlfn.XLOOKUP(Pályák!A178,Mars!A:A,Mars!E:E)&amp;""&amp;_xlfn.XLOOKUP(Pályák!A178,Mars!A:A,Mars!G:G)</f>
        <v>#N/A</v>
      </c>
      <c r="G178" s="12" t="e">
        <f>_xlfn.XLOOKUP(Pályák!A178,Mars!A:A,Mars!E:E)&amp;""&amp;_xlfn.XLOOKUP(Pályák!A178,Mars!A:A,Mars!H:H)</f>
        <v>#N/A</v>
      </c>
    </row>
    <row r="179" spans="1:7" x14ac:dyDescent="0.25">
      <c r="A179" s="3">
        <v>44738</v>
      </c>
      <c r="B179" s="12" t="e">
        <f>_xlfn.XLOOKUP(Pályák!A179,Mars!A:A,Mars!B:B)</f>
        <v>#N/A</v>
      </c>
      <c r="C179" s="12" t="e">
        <f>_xlfn.XLOOKUP(Pályák!A179,Mars!A:A,Mars!C:C)</f>
        <v>#N/A</v>
      </c>
      <c r="D179" s="12" t="e">
        <f>_xlfn.XLOOKUP(Pályák!A179,Mars!A:A,Mars!D:D)</f>
        <v>#N/A</v>
      </c>
      <c r="E179" s="12" t="e">
        <f>_xlfn.XLOOKUP(Pályák!A179,Mars!A:A,Mars!E:E)&amp;""&amp;_xlfn.XLOOKUP(Pályák!A179,Mars!A:A,Mars!F:F)</f>
        <v>#N/A</v>
      </c>
      <c r="F179" s="12" t="e">
        <f>_xlfn.XLOOKUP(Pályák!A179,Mars!A:A,Mars!E:E)&amp;""&amp;_xlfn.XLOOKUP(Pályák!A179,Mars!A:A,Mars!G:G)</f>
        <v>#N/A</v>
      </c>
      <c r="G179" s="12" t="e">
        <f>_xlfn.XLOOKUP(Pályák!A179,Mars!A:A,Mars!E:E)&amp;""&amp;_xlfn.XLOOKUP(Pályák!A179,Mars!A:A,Mars!H:H)</f>
        <v>#N/A</v>
      </c>
    </row>
    <row r="180" spans="1:7" x14ac:dyDescent="0.25">
      <c r="A180" s="3">
        <v>44739</v>
      </c>
      <c r="B180" s="12" t="e">
        <f>_xlfn.XLOOKUP(Pályák!A180,Mars!A:A,Mars!B:B)</f>
        <v>#N/A</v>
      </c>
      <c r="C180" s="12" t="e">
        <f>_xlfn.XLOOKUP(Pályák!A180,Mars!A:A,Mars!C:C)</f>
        <v>#N/A</v>
      </c>
      <c r="D180" s="12" t="e">
        <f>_xlfn.XLOOKUP(Pályák!A180,Mars!A:A,Mars!D:D)</f>
        <v>#N/A</v>
      </c>
      <c r="E180" s="12" t="e">
        <f>_xlfn.XLOOKUP(Pályák!A180,Mars!A:A,Mars!E:E)&amp;""&amp;_xlfn.XLOOKUP(Pályák!A180,Mars!A:A,Mars!F:F)</f>
        <v>#N/A</v>
      </c>
      <c r="F180" s="12" t="e">
        <f>_xlfn.XLOOKUP(Pályák!A180,Mars!A:A,Mars!E:E)&amp;""&amp;_xlfn.XLOOKUP(Pályák!A180,Mars!A:A,Mars!G:G)</f>
        <v>#N/A</v>
      </c>
      <c r="G180" s="12" t="e">
        <f>_xlfn.XLOOKUP(Pályák!A180,Mars!A:A,Mars!E:E)&amp;""&amp;_xlfn.XLOOKUP(Pályák!A180,Mars!A:A,Mars!H:H)</f>
        <v>#N/A</v>
      </c>
    </row>
    <row r="181" spans="1:7" x14ac:dyDescent="0.25">
      <c r="A181" s="3">
        <v>44740</v>
      </c>
      <c r="B181" s="12" t="e">
        <f>_xlfn.XLOOKUP(Pályák!A181,Mars!A:A,Mars!B:B)</f>
        <v>#N/A</v>
      </c>
      <c r="C181" s="12" t="e">
        <f>_xlfn.XLOOKUP(Pályák!A181,Mars!A:A,Mars!C:C)</f>
        <v>#N/A</v>
      </c>
      <c r="D181" s="12" t="e">
        <f>_xlfn.XLOOKUP(Pályák!A181,Mars!A:A,Mars!D:D)</f>
        <v>#N/A</v>
      </c>
      <c r="E181" s="12" t="e">
        <f>_xlfn.XLOOKUP(Pályák!A181,Mars!A:A,Mars!E:E)&amp;""&amp;_xlfn.XLOOKUP(Pályák!A181,Mars!A:A,Mars!F:F)</f>
        <v>#N/A</v>
      </c>
      <c r="F181" s="12" t="e">
        <f>_xlfn.XLOOKUP(Pályák!A181,Mars!A:A,Mars!E:E)&amp;""&amp;_xlfn.XLOOKUP(Pályák!A181,Mars!A:A,Mars!G:G)</f>
        <v>#N/A</v>
      </c>
      <c r="G181" s="12" t="e">
        <f>_xlfn.XLOOKUP(Pályák!A181,Mars!A:A,Mars!E:E)&amp;""&amp;_xlfn.XLOOKUP(Pályák!A181,Mars!A:A,Mars!H:H)</f>
        <v>#N/A</v>
      </c>
    </row>
    <row r="182" spans="1:7" x14ac:dyDescent="0.25">
      <c r="A182" s="3">
        <v>44741</v>
      </c>
      <c r="B182" s="12" t="e">
        <f>_xlfn.XLOOKUP(Pályák!A182,Mars!A:A,Mars!B:B)</f>
        <v>#N/A</v>
      </c>
      <c r="C182" s="12" t="e">
        <f>_xlfn.XLOOKUP(Pályák!A182,Mars!A:A,Mars!C:C)</f>
        <v>#N/A</v>
      </c>
      <c r="D182" s="12" t="e">
        <f>_xlfn.XLOOKUP(Pályák!A182,Mars!A:A,Mars!D:D)</f>
        <v>#N/A</v>
      </c>
      <c r="E182" s="12" t="e">
        <f>_xlfn.XLOOKUP(Pályák!A182,Mars!A:A,Mars!E:E)&amp;""&amp;_xlfn.XLOOKUP(Pályák!A182,Mars!A:A,Mars!F:F)</f>
        <v>#N/A</v>
      </c>
      <c r="F182" s="12" t="e">
        <f>_xlfn.XLOOKUP(Pályák!A182,Mars!A:A,Mars!E:E)&amp;""&amp;_xlfn.XLOOKUP(Pályák!A182,Mars!A:A,Mars!G:G)</f>
        <v>#N/A</v>
      </c>
      <c r="G182" s="12" t="e">
        <f>_xlfn.XLOOKUP(Pályák!A182,Mars!A:A,Mars!E:E)&amp;""&amp;_xlfn.XLOOKUP(Pályák!A182,Mars!A:A,Mars!H:H)</f>
        <v>#N/A</v>
      </c>
    </row>
    <row r="183" spans="1:7" x14ac:dyDescent="0.25">
      <c r="A183" s="3">
        <v>44742</v>
      </c>
      <c r="B183" s="12" t="e">
        <f>_xlfn.XLOOKUP(Pályák!A183,Mars!A:A,Mars!B:B)</f>
        <v>#N/A</v>
      </c>
      <c r="C183" s="12" t="e">
        <f>_xlfn.XLOOKUP(Pályák!A183,Mars!A:A,Mars!C:C)</f>
        <v>#N/A</v>
      </c>
      <c r="D183" s="12" t="e">
        <f>_xlfn.XLOOKUP(Pályák!A183,Mars!A:A,Mars!D:D)</f>
        <v>#N/A</v>
      </c>
      <c r="E183" s="12" t="e">
        <f>_xlfn.XLOOKUP(Pályák!A183,Mars!A:A,Mars!E:E)&amp;""&amp;_xlfn.XLOOKUP(Pályák!A183,Mars!A:A,Mars!F:F)</f>
        <v>#N/A</v>
      </c>
      <c r="F183" s="12" t="e">
        <f>_xlfn.XLOOKUP(Pályák!A183,Mars!A:A,Mars!E:E)&amp;""&amp;_xlfn.XLOOKUP(Pályák!A183,Mars!A:A,Mars!G:G)</f>
        <v>#N/A</v>
      </c>
      <c r="G183" s="12" t="e">
        <f>_xlfn.XLOOKUP(Pályák!A183,Mars!A:A,Mars!E:E)&amp;""&amp;_xlfn.XLOOKUP(Pályák!A183,Mars!A:A,Mars!H:H)</f>
        <v>#N/A</v>
      </c>
    </row>
    <row r="184" spans="1:7" x14ac:dyDescent="0.25">
      <c r="A184" s="3">
        <v>44743</v>
      </c>
      <c r="B184" s="12" t="e">
        <f>_xlfn.XLOOKUP(Pályák!A184,Mars!A:A,Mars!B:B)</f>
        <v>#N/A</v>
      </c>
      <c r="C184" s="12" t="e">
        <f>_xlfn.XLOOKUP(Pályák!A184,Mars!A:A,Mars!C:C)</f>
        <v>#N/A</v>
      </c>
      <c r="D184" s="12" t="e">
        <f>_xlfn.XLOOKUP(Pályák!A184,Mars!A:A,Mars!D:D)</f>
        <v>#N/A</v>
      </c>
      <c r="E184" s="12" t="e">
        <f>_xlfn.XLOOKUP(Pályák!A184,Mars!A:A,Mars!E:E)&amp;""&amp;_xlfn.XLOOKUP(Pályák!A184,Mars!A:A,Mars!F:F)</f>
        <v>#N/A</v>
      </c>
      <c r="F184" s="12" t="e">
        <f>_xlfn.XLOOKUP(Pályák!A184,Mars!A:A,Mars!E:E)&amp;""&amp;_xlfn.XLOOKUP(Pályák!A184,Mars!A:A,Mars!G:G)</f>
        <v>#N/A</v>
      </c>
      <c r="G184" s="12" t="e">
        <f>_xlfn.XLOOKUP(Pályák!A184,Mars!A:A,Mars!E:E)&amp;""&amp;_xlfn.XLOOKUP(Pályák!A184,Mars!A:A,Mars!H:H)</f>
        <v>#N/A</v>
      </c>
    </row>
    <row r="185" spans="1:7" x14ac:dyDescent="0.25">
      <c r="A185" s="3">
        <v>44744</v>
      </c>
      <c r="B185" s="12" t="e">
        <f>_xlfn.XLOOKUP(Pályák!A185,Mars!A:A,Mars!B:B)</f>
        <v>#N/A</v>
      </c>
      <c r="C185" s="12" t="e">
        <f>_xlfn.XLOOKUP(Pályák!A185,Mars!A:A,Mars!C:C)</f>
        <v>#N/A</v>
      </c>
      <c r="D185" s="12" t="e">
        <f>_xlfn.XLOOKUP(Pályák!A185,Mars!A:A,Mars!D:D)</f>
        <v>#N/A</v>
      </c>
      <c r="E185" s="12" t="e">
        <f>_xlfn.XLOOKUP(Pályák!A185,Mars!A:A,Mars!E:E)&amp;""&amp;_xlfn.XLOOKUP(Pályák!A185,Mars!A:A,Mars!F:F)</f>
        <v>#N/A</v>
      </c>
      <c r="F185" s="12" t="e">
        <f>_xlfn.XLOOKUP(Pályák!A185,Mars!A:A,Mars!E:E)&amp;""&amp;_xlfn.XLOOKUP(Pályák!A185,Mars!A:A,Mars!G:G)</f>
        <v>#N/A</v>
      </c>
      <c r="G185" s="12" t="e">
        <f>_xlfn.XLOOKUP(Pályák!A185,Mars!A:A,Mars!E:E)&amp;""&amp;_xlfn.XLOOKUP(Pályák!A185,Mars!A:A,Mars!H:H)</f>
        <v>#N/A</v>
      </c>
    </row>
    <row r="186" spans="1:7" x14ac:dyDescent="0.25">
      <c r="A186" s="3">
        <v>44745</v>
      </c>
      <c r="B186" s="12" t="e">
        <f>_xlfn.XLOOKUP(Pályák!A186,Mars!A:A,Mars!B:B)</f>
        <v>#N/A</v>
      </c>
      <c r="C186" s="12" t="e">
        <f>_xlfn.XLOOKUP(Pályák!A186,Mars!A:A,Mars!C:C)</f>
        <v>#N/A</v>
      </c>
      <c r="D186" s="12" t="e">
        <f>_xlfn.XLOOKUP(Pályák!A186,Mars!A:A,Mars!D:D)</f>
        <v>#N/A</v>
      </c>
      <c r="E186" s="12" t="e">
        <f>_xlfn.XLOOKUP(Pályák!A186,Mars!A:A,Mars!E:E)&amp;""&amp;_xlfn.XLOOKUP(Pályák!A186,Mars!A:A,Mars!F:F)</f>
        <v>#N/A</v>
      </c>
      <c r="F186" s="12" t="e">
        <f>_xlfn.XLOOKUP(Pályák!A186,Mars!A:A,Mars!E:E)&amp;""&amp;_xlfn.XLOOKUP(Pályák!A186,Mars!A:A,Mars!G:G)</f>
        <v>#N/A</v>
      </c>
      <c r="G186" s="12" t="e">
        <f>_xlfn.XLOOKUP(Pályák!A186,Mars!A:A,Mars!E:E)&amp;""&amp;_xlfn.XLOOKUP(Pályák!A186,Mars!A:A,Mars!H:H)</f>
        <v>#N/A</v>
      </c>
    </row>
    <row r="187" spans="1:7" x14ac:dyDescent="0.25">
      <c r="A187" s="3">
        <v>44746</v>
      </c>
      <c r="B187" s="12" t="e">
        <f>_xlfn.XLOOKUP(Pályák!A187,Mars!A:A,Mars!B:B)</f>
        <v>#N/A</v>
      </c>
      <c r="C187" s="12" t="e">
        <f>_xlfn.XLOOKUP(Pályák!A187,Mars!A:A,Mars!C:C)</f>
        <v>#N/A</v>
      </c>
      <c r="D187" s="12" t="e">
        <f>_xlfn.XLOOKUP(Pályák!A187,Mars!A:A,Mars!D:D)</f>
        <v>#N/A</v>
      </c>
      <c r="E187" s="12" t="e">
        <f>_xlfn.XLOOKUP(Pályák!A187,Mars!A:A,Mars!E:E)&amp;""&amp;_xlfn.XLOOKUP(Pályák!A187,Mars!A:A,Mars!F:F)</f>
        <v>#N/A</v>
      </c>
      <c r="F187" s="12" t="e">
        <f>_xlfn.XLOOKUP(Pályák!A187,Mars!A:A,Mars!E:E)&amp;""&amp;_xlfn.XLOOKUP(Pályák!A187,Mars!A:A,Mars!G:G)</f>
        <v>#N/A</v>
      </c>
      <c r="G187" s="12" t="e">
        <f>_xlfn.XLOOKUP(Pályák!A187,Mars!A:A,Mars!E:E)&amp;""&amp;_xlfn.XLOOKUP(Pályák!A187,Mars!A:A,Mars!H:H)</f>
        <v>#N/A</v>
      </c>
    </row>
    <row r="188" spans="1:7" x14ac:dyDescent="0.25">
      <c r="A188" s="3">
        <v>44747</v>
      </c>
      <c r="B188" s="12" t="e">
        <f>_xlfn.XLOOKUP(Pályák!A188,Mars!A:A,Mars!B:B)</f>
        <v>#N/A</v>
      </c>
      <c r="C188" s="12" t="e">
        <f>_xlfn.XLOOKUP(Pályák!A188,Mars!A:A,Mars!C:C)</f>
        <v>#N/A</v>
      </c>
      <c r="D188" s="12" t="e">
        <f>_xlfn.XLOOKUP(Pályák!A188,Mars!A:A,Mars!D:D)</f>
        <v>#N/A</v>
      </c>
      <c r="E188" s="12" t="e">
        <f>_xlfn.XLOOKUP(Pályák!A188,Mars!A:A,Mars!E:E)&amp;""&amp;_xlfn.XLOOKUP(Pályák!A188,Mars!A:A,Mars!F:F)</f>
        <v>#N/A</v>
      </c>
      <c r="F188" s="12" t="e">
        <f>_xlfn.XLOOKUP(Pályák!A188,Mars!A:A,Mars!E:E)&amp;""&amp;_xlfn.XLOOKUP(Pályák!A188,Mars!A:A,Mars!G:G)</f>
        <v>#N/A</v>
      </c>
      <c r="G188" s="12" t="e">
        <f>_xlfn.XLOOKUP(Pályák!A188,Mars!A:A,Mars!E:E)&amp;""&amp;_xlfn.XLOOKUP(Pályák!A188,Mars!A:A,Mars!H:H)</f>
        <v>#N/A</v>
      </c>
    </row>
    <row r="189" spans="1:7" x14ac:dyDescent="0.25">
      <c r="A189" s="3">
        <v>44748</v>
      </c>
      <c r="B189" s="12" t="e">
        <f>_xlfn.XLOOKUP(Pályák!A189,Mars!A:A,Mars!B:B)</f>
        <v>#N/A</v>
      </c>
      <c r="C189" s="12" t="e">
        <f>_xlfn.XLOOKUP(Pályák!A189,Mars!A:A,Mars!C:C)</f>
        <v>#N/A</v>
      </c>
      <c r="D189" s="12" t="e">
        <f>_xlfn.XLOOKUP(Pályák!A189,Mars!A:A,Mars!D:D)</f>
        <v>#N/A</v>
      </c>
      <c r="E189" s="12" t="e">
        <f>_xlfn.XLOOKUP(Pályák!A189,Mars!A:A,Mars!E:E)&amp;""&amp;_xlfn.XLOOKUP(Pályák!A189,Mars!A:A,Mars!F:F)</f>
        <v>#N/A</v>
      </c>
      <c r="F189" s="12" t="e">
        <f>_xlfn.XLOOKUP(Pályák!A189,Mars!A:A,Mars!E:E)&amp;""&amp;_xlfn.XLOOKUP(Pályák!A189,Mars!A:A,Mars!G:G)</f>
        <v>#N/A</v>
      </c>
      <c r="G189" s="12" t="e">
        <f>_xlfn.XLOOKUP(Pályák!A189,Mars!A:A,Mars!E:E)&amp;""&amp;_xlfn.XLOOKUP(Pályák!A189,Mars!A:A,Mars!H:H)</f>
        <v>#N/A</v>
      </c>
    </row>
    <row r="190" spans="1:7" x14ac:dyDescent="0.25">
      <c r="A190" s="3">
        <v>44749</v>
      </c>
      <c r="B190" s="12" t="e">
        <f>_xlfn.XLOOKUP(Pályák!A190,Mars!A:A,Mars!B:B)</f>
        <v>#N/A</v>
      </c>
      <c r="C190" s="12" t="e">
        <f>_xlfn.XLOOKUP(Pályák!A190,Mars!A:A,Mars!C:C)</f>
        <v>#N/A</v>
      </c>
      <c r="D190" s="12" t="e">
        <f>_xlfn.XLOOKUP(Pályák!A190,Mars!A:A,Mars!D:D)</f>
        <v>#N/A</v>
      </c>
      <c r="E190" s="12" t="e">
        <f>_xlfn.XLOOKUP(Pályák!A190,Mars!A:A,Mars!E:E)&amp;""&amp;_xlfn.XLOOKUP(Pályák!A190,Mars!A:A,Mars!F:F)</f>
        <v>#N/A</v>
      </c>
      <c r="F190" s="12" t="e">
        <f>_xlfn.XLOOKUP(Pályák!A190,Mars!A:A,Mars!E:E)&amp;""&amp;_xlfn.XLOOKUP(Pályák!A190,Mars!A:A,Mars!G:G)</f>
        <v>#N/A</v>
      </c>
      <c r="G190" s="12" t="e">
        <f>_xlfn.XLOOKUP(Pályák!A190,Mars!A:A,Mars!E:E)&amp;""&amp;_xlfn.XLOOKUP(Pályák!A190,Mars!A:A,Mars!H:H)</f>
        <v>#N/A</v>
      </c>
    </row>
    <row r="191" spans="1:7" x14ac:dyDescent="0.25">
      <c r="A191" s="3">
        <v>44750</v>
      </c>
      <c r="B191" s="12" t="e">
        <f>_xlfn.XLOOKUP(Pályák!A191,Mars!A:A,Mars!B:B)</f>
        <v>#N/A</v>
      </c>
      <c r="C191" s="12" t="e">
        <f>_xlfn.XLOOKUP(Pályák!A191,Mars!A:A,Mars!C:C)</f>
        <v>#N/A</v>
      </c>
      <c r="D191" s="12" t="e">
        <f>_xlfn.XLOOKUP(Pályák!A191,Mars!A:A,Mars!D:D)</f>
        <v>#N/A</v>
      </c>
      <c r="E191" s="12" t="e">
        <f>_xlfn.XLOOKUP(Pályák!A191,Mars!A:A,Mars!E:E)&amp;""&amp;_xlfn.XLOOKUP(Pályák!A191,Mars!A:A,Mars!F:F)</f>
        <v>#N/A</v>
      </c>
      <c r="F191" s="12" t="e">
        <f>_xlfn.XLOOKUP(Pályák!A191,Mars!A:A,Mars!E:E)&amp;""&amp;_xlfn.XLOOKUP(Pályák!A191,Mars!A:A,Mars!G:G)</f>
        <v>#N/A</v>
      </c>
      <c r="G191" s="12" t="e">
        <f>_xlfn.XLOOKUP(Pályák!A191,Mars!A:A,Mars!E:E)&amp;""&amp;_xlfn.XLOOKUP(Pályák!A191,Mars!A:A,Mars!H:H)</f>
        <v>#N/A</v>
      </c>
    </row>
    <row r="192" spans="1:7" x14ac:dyDescent="0.25">
      <c r="A192" s="3">
        <v>44751</v>
      </c>
      <c r="B192" s="12" t="e">
        <f>_xlfn.XLOOKUP(Pályák!A192,Mars!A:A,Mars!B:B)</f>
        <v>#N/A</v>
      </c>
      <c r="C192" s="12" t="e">
        <f>_xlfn.XLOOKUP(Pályák!A192,Mars!A:A,Mars!C:C)</f>
        <v>#N/A</v>
      </c>
      <c r="D192" s="12" t="e">
        <f>_xlfn.XLOOKUP(Pályák!A192,Mars!A:A,Mars!D:D)</f>
        <v>#N/A</v>
      </c>
      <c r="E192" s="12" t="e">
        <f>_xlfn.XLOOKUP(Pályák!A192,Mars!A:A,Mars!E:E)&amp;""&amp;_xlfn.XLOOKUP(Pályák!A192,Mars!A:A,Mars!F:F)</f>
        <v>#N/A</v>
      </c>
      <c r="F192" s="12" t="e">
        <f>_xlfn.XLOOKUP(Pályák!A192,Mars!A:A,Mars!E:E)&amp;""&amp;_xlfn.XLOOKUP(Pályák!A192,Mars!A:A,Mars!G:G)</f>
        <v>#N/A</v>
      </c>
      <c r="G192" s="12" t="e">
        <f>_xlfn.XLOOKUP(Pályák!A192,Mars!A:A,Mars!E:E)&amp;""&amp;_xlfn.XLOOKUP(Pályák!A192,Mars!A:A,Mars!H:H)</f>
        <v>#N/A</v>
      </c>
    </row>
    <row r="193" spans="1:7" x14ac:dyDescent="0.25">
      <c r="A193" s="3">
        <v>44752</v>
      </c>
      <c r="B193" s="12" t="e">
        <f>_xlfn.XLOOKUP(Pályák!A193,Mars!A:A,Mars!B:B)</f>
        <v>#N/A</v>
      </c>
      <c r="C193" s="12" t="e">
        <f>_xlfn.XLOOKUP(Pályák!A193,Mars!A:A,Mars!C:C)</f>
        <v>#N/A</v>
      </c>
      <c r="D193" s="12" t="e">
        <f>_xlfn.XLOOKUP(Pályák!A193,Mars!A:A,Mars!D:D)</f>
        <v>#N/A</v>
      </c>
      <c r="E193" s="12" t="e">
        <f>_xlfn.XLOOKUP(Pályák!A193,Mars!A:A,Mars!E:E)&amp;""&amp;_xlfn.XLOOKUP(Pályák!A193,Mars!A:A,Mars!F:F)</f>
        <v>#N/A</v>
      </c>
      <c r="F193" s="12" t="e">
        <f>_xlfn.XLOOKUP(Pályák!A193,Mars!A:A,Mars!E:E)&amp;""&amp;_xlfn.XLOOKUP(Pályák!A193,Mars!A:A,Mars!G:G)</f>
        <v>#N/A</v>
      </c>
      <c r="G193" s="12" t="e">
        <f>_xlfn.XLOOKUP(Pályák!A193,Mars!A:A,Mars!E:E)&amp;""&amp;_xlfn.XLOOKUP(Pályák!A193,Mars!A:A,Mars!H:H)</f>
        <v>#N/A</v>
      </c>
    </row>
    <row r="194" spans="1:7" x14ac:dyDescent="0.25">
      <c r="A194" s="3">
        <v>44753</v>
      </c>
      <c r="B194" s="12" t="e">
        <f>_xlfn.XLOOKUP(Pályák!A194,Mars!A:A,Mars!B:B)</f>
        <v>#N/A</v>
      </c>
      <c r="C194" s="12" t="e">
        <f>_xlfn.XLOOKUP(Pályák!A194,Mars!A:A,Mars!C:C)</f>
        <v>#N/A</v>
      </c>
      <c r="D194" s="12" t="e">
        <f>_xlfn.XLOOKUP(Pályák!A194,Mars!A:A,Mars!D:D)</f>
        <v>#N/A</v>
      </c>
      <c r="E194" s="12" t="e">
        <f>_xlfn.XLOOKUP(Pályák!A194,Mars!A:A,Mars!E:E)&amp;""&amp;_xlfn.XLOOKUP(Pályák!A194,Mars!A:A,Mars!F:F)</f>
        <v>#N/A</v>
      </c>
      <c r="F194" s="12" t="e">
        <f>_xlfn.XLOOKUP(Pályák!A194,Mars!A:A,Mars!E:E)&amp;""&amp;_xlfn.XLOOKUP(Pályák!A194,Mars!A:A,Mars!G:G)</f>
        <v>#N/A</v>
      </c>
      <c r="G194" s="12" t="e">
        <f>_xlfn.XLOOKUP(Pályák!A194,Mars!A:A,Mars!E:E)&amp;""&amp;_xlfn.XLOOKUP(Pályák!A194,Mars!A:A,Mars!H:H)</f>
        <v>#N/A</v>
      </c>
    </row>
    <row r="195" spans="1:7" x14ac:dyDescent="0.25">
      <c r="A195" s="3">
        <v>44754</v>
      </c>
      <c r="B195" s="12" t="e">
        <f>_xlfn.XLOOKUP(Pályák!A195,Mars!A:A,Mars!B:B)</f>
        <v>#N/A</v>
      </c>
      <c r="C195" s="12" t="e">
        <f>_xlfn.XLOOKUP(Pályák!A195,Mars!A:A,Mars!C:C)</f>
        <v>#N/A</v>
      </c>
      <c r="D195" s="12" t="e">
        <f>_xlfn.XLOOKUP(Pályák!A195,Mars!A:A,Mars!D:D)</f>
        <v>#N/A</v>
      </c>
      <c r="E195" s="12" t="e">
        <f>_xlfn.XLOOKUP(Pályák!A195,Mars!A:A,Mars!E:E)&amp;""&amp;_xlfn.XLOOKUP(Pályák!A195,Mars!A:A,Mars!F:F)</f>
        <v>#N/A</v>
      </c>
      <c r="F195" s="12" t="e">
        <f>_xlfn.XLOOKUP(Pályák!A195,Mars!A:A,Mars!E:E)&amp;""&amp;_xlfn.XLOOKUP(Pályák!A195,Mars!A:A,Mars!G:G)</f>
        <v>#N/A</v>
      </c>
      <c r="G195" s="12" t="e">
        <f>_xlfn.XLOOKUP(Pályák!A195,Mars!A:A,Mars!E:E)&amp;""&amp;_xlfn.XLOOKUP(Pályák!A195,Mars!A:A,Mars!H:H)</f>
        <v>#N/A</v>
      </c>
    </row>
    <row r="196" spans="1:7" x14ac:dyDescent="0.25">
      <c r="A196" s="3">
        <v>44755</v>
      </c>
      <c r="B196" s="12" t="e">
        <f>_xlfn.XLOOKUP(Pályák!A196,Mars!A:A,Mars!B:B)</f>
        <v>#N/A</v>
      </c>
      <c r="C196" s="12" t="e">
        <f>_xlfn.XLOOKUP(Pályák!A196,Mars!A:A,Mars!C:C)</f>
        <v>#N/A</v>
      </c>
      <c r="D196" s="12" t="e">
        <f>_xlfn.XLOOKUP(Pályák!A196,Mars!A:A,Mars!D:D)</f>
        <v>#N/A</v>
      </c>
      <c r="E196" s="12" t="e">
        <f>_xlfn.XLOOKUP(Pályák!A196,Mars!A:A,Mars!E:E)&amp;""&amp;_xlfn.XLOOKUP(Pályák!A196,Mars!A:A,Mars!F:F)</f>
        <v>#N/A</v>
      </c>
      <c r="F196" s="12" t="e">
        <f>_xlfn.XLOOKUP(Pályák!A196,Mars!A:A,Mars!E:E)&amp;""&amp;_xlfn.XLOOKUP(Pályák!A196,Mars!A:A,Mars!G:G)</f>
        <v>#N/A</v>
      </c>
      <c r="G196" s="12" t="e">
        <f>_xlfn.XLOOKUP(Pályák!A196,Mars!A:A,Mars!E:E)&amp;""&amp;_xlfn.XLOOKUP(Pályák!A196,Mars!A:A,Mars!H:H)</f>
        <v>#N/A</v>
      </c>
    </row>
    <row r="197" spans="1:7" x14ac:dyDescent="0.25">
      <c r="A197" s="3">
        <v>44756</v>
      </c>
      <c r="B197" s="12" t="e">
        <f>_xlfn.XLOOKUP(Pályák!A197,Mars!A:A,Mars!B:B)</f>
        <v>#N/A</v>
      </c>
      <c r="C197" s="12" t="e">
        <f>_xlfn.XLOOKUP(Pályák!A197,Mars!A:A,Mars!C:C)</f>
        <v>#N/A</v>
      </c>
      <c r="D197" s="12" t="e">
        <f>_xlfn.XLOOKUP(Pályák!A197,Mars!A:A,Mars!D:D)</f>
        <v>#N/A</v>
      </c>
      <c r="E197" s="12" t="e">
        <f>_xlfn.XLOOKUP(Pályák!A197,Mars!A:A,Mars!E:E)&amp;""&amp;_xlfn.XLOOKUP(Pályák!A197,Mars!A:A,Mars!F:F)</f>
        <v>#N/A</v>
      </c>
      <c r="F197" s="12" t="e">
        <f>_xlfn.XLOOKUP(Pályák!A197,Mars!A:A,Mars!E:E)&amp;""&amp;_xlfn.XLOOKUP(Pályák!A197,Mars!A:A,Mars!G:G)</f>
        <v>#N/A</v>
      </c>
      <c r="G197" s="12" t="e">
        <f>_xlfn.XLOOKUP(Pályák!A197,Mars!A:A,Mars!E:E)&amp;""&amp;_xlfn.XLOOKUP(Pályák!A197,Mars!A:A,Mars!H:H)</f>
        <v>#N/A</v>
      </c>
    </row>
    <row r="198" spans="1:7" x14ac:dyDescent="0.25">
      <c r="A198" s="3">
        <v>44757</v>
      </c>
      <c r="B198" s="12" t="e">
        <f>_xlfn.XLOOKUP(Pályák!A198,Mars!A:A,Mars!B:B)</f>
        <v>#N/A</v>
      </c>
      <c r="C198" s="12" t="e">
        <f>_xlfn.XLOOKUP(Pályák!A198,Mars!A:A,Mars!C:C)</f>
        <v>#N/A</v>
      </c>
      <c r="D198" s="12" t="e">
        <f>_xlfn.XLOOKUP(Pályák!A198,Mars!A:A,Mars!D:D)</f>
        <v>#N/A</v>
      </c>
      <c r="E198" s="12" t="e">
        <f>_xlfn.XLOOKUP(Pályák!A198,Mars!A:A,Mars!E:E)&amp;""&amp;_xlfn.XLOOKUP(Pályák!A198,Mars!A:A,Mars!F:F)</f>
        <v>#N/A</v>
      </c>
      <c r="F198" s="12" t="e">
        <f>_xlfn.XLOOKUP(Pályák!A198,Mars!A:A,Mars!E:E)&amp;""&amp;_xlfn.XLOOKUP(Pályák!A198,Mars!A:A,Mars!G:G)</f>
        <v>#N/A</v>
      </c>
      <c r="G198" s="12" t="e">
        <f>_xlfn.XLOOKUP(Pályák!A198,Mars!A:A,Mars!E:E)&amp;""&amp;_xlfn.XLOOKUP(Pályák!A198,Mars!A:A,Mars!H:H)</f>
        <v>#N/A</v>
      </c>
    </row>
    <row r="199" spans="1:7" x14ac:dyDescent="0.25">
      <c r="A199" s="3">
        <v>44758</v>
      </c>
      <c r="B199" s="12" t="e">
        <f>_xlfn.XLOOKUP(Pályák!A199,Mars!A:A,Mars!B:B)</f>
        <v>#N/A</v>
      </c>
      <c r="C199" s="12" t="e">
        <f>_xlfn.XLOOKUP(Pályák!A199,Mars!A:A,Mars!C:C)</f>
        <v>#N/A</v>
      </c>
      <c r="D199" s="12" t="e">
        <f>_xlfn.XLOOKUP(Pályák!A199,Mars!A:A,Mars!D:D)</f>
        <v>#N/A</v>
      </c>
      <c r="E199" s="12" t="e">
        <f>_xlfn.XLOOKUP(Pályák!A199,Mars!A:A,Mars!E:E)&amp;""&amp;_xlfn.XLOOKUP(Pályák!A199,Mars!A:A,Mars!F:F)</f>
        <v>#N/A</v>
      </c>
      <c r="F199" s="12" t="e">
        <f>_xlfn.XLOOKUP(Pályák!A199,Mars!A:A,Mars!E:E)&amp;""&amp;_xlfn.XLOOKUP(Pályák!A199,Mars!A:A,Mars!G:G)</f>
        <v>#N/A</v>
      </c>
      <c r="G199" s="12" t="e">
        <f>_xlfn.XLOOKUP(Pályák!A199,Mars!A:A,Mars!E:E)&amp;""&amp;_xlfn.XLOOKUP(Pályák!A199,Mars!A:A,Mars!H:H)</f>
        <v>#N/A</v>
      </c>
    </row>
    <row r="200" spans="1:7" x14ac:dyDescent="0.25">
      <c r="A200" s="3">
        <v>44759</v>
      </c>
      <c r="B200" s="12" t="e">
        <f>_xlfn.XLOOKUP(Pályák!A200,Mars!A:A,Mars!B:B)</f>
        <v>#N/A</v>
      </c>
      <c r="C200" s="12" t="e">
        <f>_xlfn.XLOOKUP(Pályák!A200,Mars!A:A,Mars!C:C)</f>
        <v>#N/A</v>
      </c>
      <c r="D200" s="12" t="e">
        <f>_xlfn.XLOOKUP(Pályák!A200,Mars!A:A,Mars!D:D)</f>
        <v>#N/A</v>
      </c>
      <c r="E200" s="12" t="e">
        <f>_xlfn.XLOOKUP(Pályák!A200,Mars!A:A,Mars!E:E)&amp;""&amp;_xlfn.XLOOKUP(Pályák!A200,Mars!A:A,Mars!F:F)</f>
        <v>#N/A</v>
      </c>
      <c r="F200" s="12" t="e">
        <f>_xlfn.XLOOKUP(Pályák!A200,Mars!A:A,Mars!E:E)&amp;""&amp;_xlfn.XLOOKUP(Pályák!A200,Mars!A:A,Mars!G:G)</f>
        <v>#N/A</v>
      </c>
      <c r="G200" s="12" t="e">
        <f>_xlfn.XLOOKUP(Pályák!A200,Mars!A:A,Mars!E:E)&amp;""&amp;_xlfn.XLOOKUP(Pályák!A200,Mars!A:A,Mars!H:H)</f>
        <v>#N/A</v>
      </c>
    </row>
    <row r="201" spans="1:7" x14ac:dyDescent="0.25">
      <c r="A201" s="3">
        <v>44760</v>
      </c>
      <c r="B201" s="12" t="e">
        <f>_xlfn.XLOOKUP(Pályák!A201,Mars!A:A,Mars!B:B)</f>
        <v>#N/A</v>
      </c>
      <c r="C201" s="12" t="e">
        <f>_xlfn.XLOOKUP(Pályák!A201,Mars!A:A,Mars!C:C)</f>
        <v>#N/A</v>
      </c>
      <c r="D201" s="12" t="e">
        <f>_xlfn.XLOOKUP(Pályák!A201,Mars!A:A,Mars!D:D)</f>
        <v>#N/A</v>
      </c>
      <c r="E201" s="12" t="e">
        <f>_xlfn.XLOOKUP(Pályák!A201,Mars!A:A,Mars!E:E)&amp;""&amp;_xlfn.XLOOKUP(Pályák!A201,Mars!A:A,Mars!F:F)</f>
        <v>#N/A</v>
      </c>
      <c r="F201" s="12" t="e">
        <f>_xlfn.XLOOKUP(Pályák!A201,Mars!A:A,Mars!E:E)&amp;""&amp;_xlfn.XLOOKUP(Pályák!A201,Mars!A:A,Mars!G:G)</f>
        <v>#N/A</v>
      </c>
      <c r="G201" s="12" t="e">
        <f>_xlfn.XLOOKUP(Pályák!A201,Mars!A:A,Mars!E:E)&amp;""&amp;_xlfn.XLOOKUP(Pályák!A201,Mars!A:A,Mars!H:H)</f>
        <v>#N/A</v>
      </c>
    </row>
    <row r="202" spans="1:7" x14ac:dyDescent="0.25">
      <c r="A202" s="3">
        <v>44761</v>
      </c>
      <c r="B202" s="12" t="e">
        <f>_xlfn.XLOOKUP(Pályák!A202,Mars!A:A,Mars!B:B)</f>
        <v>#N/A</v>
      </c>
      <c r="C202" s="12" t="e">
        <f>_xlfn.XLOOKUP(Pályák!A202,Mars!A:A,Mars!C:C)</f>
        <v>#N/A</v>
      </c>
      <c r="D202" s="12" t="e">
        <f>_xlfn.XLOOKUP(Pályák!A202,Mars!A:A,Mars!D:D)</f>
        <v>#N/A</v>
      </c>
      <c r="E202" s="12" t="e">
        <f>_xlfn.XLOOKUP(Pályák!A202,Mars!A:A,Mars!E:E)&amp;""&amp;_xlfn.XLOOKUP(Pályák!A202,Mars!A:A,Mars!F:F)</f>
        <v>#N/A</v>
      </c>
      <c r="F202" s="12" t="e">
        <f>_xlfn.XLOOKUP(Pályák!A202,Mars!A:A,Mars!E:E)&amp;""&amp;_xlfn.XLOOKUP(Pályák!A202,Mars!A:A,Mars!G:G)</f>
        <v>#N/A</v>
      </c>
      <c r="G202" s="12" t="e">
        <f>_xlfn.XLOOKUP(Pályák!A202,Mars!A:A,Mars!E:E)&amp;""&amp;_xlfn.XLOOKUP(Pályák!A202,Mars!A:A,Mars!H:H)</f>
        <v>#N/A</v>
      </c>
    </row>
    <row r="203" spans="1:7" x14ac:dyDescent="0.25">
      <c r="A203" s="3">
        <v>44762</v>
      </c>
      <c r="B203" s="12" t="e">
        <f>_xlfn.XLOOKUP(Pályák!A203,Mars!A:A,Mars!B:B)</f>
        <v>#N/A</v>
      </c>
      <c r="C203" s="12" t="e">
        <f>_xlfn.XLOOKUP(Pályák!A203,Mars!A:A,Mars!C:C)</f>
        <v>#N/A</v>
      </c>
      <c r="D203" s="12" t="e">
        <f>_xlfn.XLOOKUP(Pályák!A203,Mars!A:A,Mars!D:D)</f>
        <v>#N/A</v>
      </c>
      <c r="E203" s="12" t="e">
        <f>_xlfn.XLOOKUP(Pályák!A203,Mars!A:A,Mars!E:E)&amp;""&amp;_xlfn.XLOOKUP(Pályák!A203,Mars!A:A,Mars!F:F)</f>
        <v>#N/A</v>
      </c>
      <c r="F203" s="12" t="e">
        <f>_xlfn.XLOOKUP(Pályák!A203,Mars!A:A,Mars!E:E)&amp;""&amp;_xlfn.XLOOKUP(Pályák!A203,Mars!A:A,Mars!G:G)</f>
        <v>#N/A</v>
      </c>
      <c r="G203" s="12" t="e">
        <f>_xlfn.XLOOKUP(Pályák!A203,Mars!A:A,Mars!E:E)&amp;""&amp;_xlfn.XLOOKUP(Pályák!A203,Mars!A:A,Mars!H:H)</f>
        <v>#N/A</v>
      </c>
    </row>
    <row r="204" spans="1:7" x14ac:dyDescent="0.25">
      <c r="A204" s="3">
        <v>44763</v>
      </c>
      <c r="B204" s="12" t="e">
        <f>_xlfn.XLOOKUP(Pályák!A204,Mars!A:A,Mars!B:B)</f>
        <v>#N/A</v>
      </c>
      <c r="C204" s="12" t="e">
        <f>_xlfn.XLOOKUP(Pályák!A204,Mars!A:A,Mars!C:C)</f>
        <v>#N/A</v>
      </c>
      <c r="D204" s="12" t="e">
        <f>_xlfn.XLOOKUP(Pályák!A204,Mars!A:A,Mars!D:D)</f>
        <v>#N/A</v>
      </c>
      <c r="E204" s="12" t="e">
        <f>_xlfn.XLOOKUP(Pályák!A204,Mars!A:A,Mars!E:E)&amp;""&amp;_xlfn.XLOOKUP(Pályák!A204,Mars!A:A,Mars!F:F)</f>
        <v>#N/A</v>
      </c>
      <c r="F204" s="12" t="e">
        <f>_xlfn.XLOOKUP(Pályák!A204,Mars!A:A,Mars!E:E)&amp;""&amp;_xlfn.XLOOKUP(Pályák!A204,Mars!A:A,Mars!G:G)</f>
        <v>#N/A</v>
      </c>
      <c r="G204" s="12" t="e">
        <f>_xlfn.XLOOKUP(Pályák!A204,Mars!A:A,Mars!E:E)&amp;""&amp;_xlfn.XLOOKUP(Pályák!A204,Mars!A:A,Mars!H:H)</f>
        <v>#N/A</v>
      </c>
    </row>
    <row r="205" spans="1:7" x14ac:dyDescent="0.25">
      <c r="A205" s="3">
        <v>44764</v>
      </c>
      <c r="B205" s="12" t="e">
        <f>_xlfn.XLOOKUP(Pályák!A205,Mars!A:A,Mars!B:B)</f>
        <v>#N/A</v>
      </c>
      <c r="C205" s="12" t="e">
        <f>_xlfn.XLOOKUP(Pályák!A205,Mars!A:A,Mars!C:C)</f>
        <v>#N/A</v>
      </c>
      <c r="D205" s="12" t="e">
        <f>_xlfn.XLOOKUP(Pályák!A205,Mars!A:A,Mars!D:D)</f>
        <v>#N/A</v>
      </c>
      <c r="E205" s="12" t="e">
        <f>_xlfn.XLOOKUP(Pályák!A205,Mars!A:A,Mars!E:E)&amp;""&amp;_xlfn.XLOOKUP(Pályák!A205,Mars!A:A,Mars!F:F)</f>
        <v>#N/A</v>
      </c>
      <c r="F205" s="12" t="e">
        <f>_xlfn.XLOOKUP(Pályák!A205,Mars!A:A,Mars!E:E)&amp;""&amp;_xlfn.XLOOKUP(Pályák!A205,Mars!A:A,Mars!G:G)</f>
        <v>#N/A</v>
      </c>
      <c r="G205" s="12" t="e">
        <f>_xlfn.XLOOKUP(Pályák!A205,Mars!A:A,Mars!E:E)&amp;""&amp;_xlfn.XLOOKUP(Pályák!A205,Mars!A:A,Mars!H:H)</f>
        <v>#N/A</v>
      </c>
    </row>
    <row r="206" spans="1:7" x14ac:dyDescent="0.25">
      <c r="A206" s="3">
        <v>44765</v>
      </c>
      <c r="B206" s="12" t="e">
        <f>_xlfn.XLOOKUP(Pályák!A206,Mars!A:A,Mars!B:B)</f>
        <v>#N/A</v>
      </c>
      <c r="C206" s="12" t="e">
        <f>_xlfn.XLOOKUP(Pályák!A206,Mars!A:A,Mars!C:C)</f>
        <v>#N/A</v>
      </c>
      <c r="D206" s="12" t="e">
        <f>_xlfn.XLOOKUP(Pályák!A206,Mars!A:A,Mars!D:D)</f>
        <v>#N/A</v>
      </c>
      <c r="E206" s="12" t="e">
        <f>_xlfn.XLOOKUP(Pályák!A206,Mars!A:A,Mars!E:E)&amp;""&amp;_xlfn.XLOOKUP(Pályák!A206,Mars!A:A,Mars!F:F)</f>
        <v>#N/A</v>
      </c>
      <c r="F206" s="12" t="e">
        <f>_xlfn.XLOOKUP(Pályák!A206,Mars!A:A,Mars!E:E)&amp;""&amp;_xlfn.XLOOKUP(Pályák!A206,Mars!A:A,Mars!G:G)</f>
        <v>#N/A</v>
      </c>
      <c r="G206" s="12" t="e">
        <f>_xlfn.XLOOKUP(Pályák!A206,Mars!A:A,Mars!E:E)&amp;""&amp;_xlfn.XLOOKUP(Pályák!A206,Mars!A:A,Mars!H:H)</f>
        <v>#N/A</v>
      </c>
    </row>
    <row r="207" spans="1:7" x14ac:dyDescent="0.25">
      <c r="A207" s="3">
        <v>44766</v>
      </c>
      <c r="B207" s="12" t="e">
        <f>_xlfn.XLOOKUP(Pályák!A207,Mars!A:A,Mars!B:B)</f>
        <v>#N/A</v>
      </c>
      <c r="C207" s="12" t="e">
        <f>_xlfn.XLOOKUP(Pályák!A207,Mars!A:A,Mars!C:C)</f>
        <v>#N/A</v>
      </c>
      <c r="D207" s="12" t="e">
        <f>_xlfn.XLOOKUP(Pályák!A207,Mars!A:A,Mars!D:D)</f>
        <v>#N/A</v>
      </c>
      <c r="E207" s="12" t="e">
        <f>_xlfn.XLOOKUP(Pályák!A207,Mars!A:A,Mars!E:E)&amp;""&amp;_xlfn.XLOOKUP(Pályák!A207,Mars!A:A,Mars!F:F)</f>
        <v>#N/A</v>
      </c>
      <c r="F207" s="12" t="e">
        <f>_xlfn.XLOOKUP(Pályák!A207,Mars!A:A,Mars!E:E)&amp;""&amp;_xlfn.XLOOKUP(Pályák!A207,Mars!A:A,Mars!G:G)</f>
        <v>#N/A</v>
      </c>
      <c r="G207" s="12" t="e">
        <f>_xlfn.XLOOKUP(Pályák!A207,Mars!A:A,Mars!E:E)&amp;""&amp;_xlfn.XLOOKUP(Pályák!A207,Mars!A:A,Mars!H:H)</f>
        <v>#N/A</v>
      </c>
    </row>
    <row r="208" spans="1:7" x14ac:dyDescent="0.25">
      <c r="A208" s="3">
        <v>44767</v>
      </c>
      <c r="B208" s="12" t="e">
        <f>_xlfn.XLOOKUP(Pályák!A208,Mars!A:A,Mars!B:B)</f>
        <v>#N/A</v>
      </c>
      <c r="C208" s="12" t="e">
        <f>_xlfn.XLOOKUP(Pályák!A208,Mars!A:A,Mars!C:C)</f>
        <v>#N/A</v>
      </c>
      <c r="D208" s="12" t="e">
        <f>_xlfn.XLOOKUP(Pályák!A208,Mars!A:A,Mars!D:D)</f>
        <v>#N/A</v>
      </c>
      <c r="E208" s="12" t="e">
        <f>_xlfn.XLOOKUP(Pályák!A208,Mars!A:A,Mars!E:E)&amp;""&amp;_xlfn.XLOOKUP(Pályák!A208,Mars!A:A,Mars!F:F)</f>
        <v>#N/A</v>
      </c>
      <c r="F208" s="12" t="e">
        <f>_xlfn.XLOOKUP(Pályák!A208,Mars!A:A,Mars!E:E)&amp;""&amp;_xlfn.XLOOKUP(Pályák!A208,Mars!A:A,Mars!G:G)</f>
        <v>#N/A</v>
      </c>
      <c r="G208" s="12" t="e">
        <f>_xlfn.XLOOKUP(Pályák!A208,Mars!A:A,Mars!E:E)&amp;""&amp;_xlfn.XLOOKUP(Pályák!A208,Mars!A:A,Mars!H:H)</f>
        <v>#N/A</v>
      </c>
    </row>
    <row r="209" spans="1:7" x14ac:dyDescent="0.25">
      <c r="A209" s="3">
        <v>44768</v>
      </c>
      <c r="B209" s="12" t="e">
        <f>_xlfn.XLOOKUP(Pályák!A209,Mars!A:A,Mars!B:B)</f>
        <v>#N/A</v>
      </c>
      <c r="C209" s="12" t="e">
        <f>_xlfn.XLOOKUP(Pályák!A209,Mars!A:A,Mars!C:C)</f>
        <v>#N/A</v>
      </c>
      <c r="D209" s="12" t="e">
        <f>_xlfn.XLOOKUP(Pályák!A209,Mars!A:A,Mars!D:D)</f>
        <v>#N/A</v>
      </c>
      <c r="E209" s="12" t="e">
        <f>_xlfn.XLOOKUP(Pályák!A209,Mars!A:A,Mars!E:E)&amp;""&amp;_xlfn.XLOOKUP(Pályák!A209,Mars!A:A,Mars!F:F)</f>
        <v>#N/A</v>
      </c>
      <c r="F209" s="12" t="e">
        <f>_xlfn.XLOOKUP(Pályák!A209,Mars!A:A,Mars!E:E)&amp;""&amp;_xlfn.XLOOKUP(Pályák!A209,Mars!A:A,Mars!G:G)</f>
        <v>#N/A</v>
      </c>
      <c r="G209" s="12" t="e">
        <f>_xlfn.XLOOKUP(Pályák!A209,Mars!A:A,Mars!E:E)&amp;""&amp;_xlfn.XLOOKUP(Pályák!A209,Mars!A:A,Mars!H:H)</f>
        <v>#N/A</v>
      </c>
    </row>
    <row r="210" spans="1:7" x14ac:dyDescent="0.25">
      <c r="A210" s="3">
        <v>44769</v>
      </c>
      <c r="B210" s="12" t="e">
        <f>_xlfn.XLOOKUP(Pályák!A210,Mars!A:A,Mars!B:B)</f>
        <v>#N/A</v>
      </c>
      <c r="C210" s="12" t="e">
        <f>_xlfn.XLOOKUP(Pályák!A210,Mars!A:A,Mars!C:C)</f>
        <v>#N/A</v>
      </c>
      <c r="D210" s="12" t="e">
        <f>_xlfn.XLOOKUP(Pályák!A210,Mars!A:A,Mars!D:D)</f>
        <v>#N/A</v>
      </c>
      <c r="E210" s="12" t="e">
        <f>_xlfn.XLOOKUP(Pályák!A210,Mars!A:A,Mars!E:E)&amp;""&amp;_xlfn.XLOOKUP(Pályák!A210,Mars!A:A,Mars!F:F)</f>
        <v>#N/A</v>
      </c>
      <c r="F210" s="12" t="e">
        <f>_xlfn.XLOOKUP(Pályák!A210,Mars!A:A,Mars!E:E)&amp;""&amp;_xlfn.XLOOKUP(Pályák!A210,Mars!A:A,Mars!G:G)</f>
        <v>#N/A</v>
      </c>
      <c r="G210" s="12" t="e">
        <f>_xlfn.XLOOKUP(Pályák!A210,Mars!A:A,Mars!E:E)&amp;""&amp;_xlfn.XLOOKUP(Pályák!A210,Mars!A:A,Mars!H:H)</f>
        <v>#N/A</v>
      </c>
    </row>
    <row r="211" spans="1:7" x14ac:dyDescent="0.25">
      <c r="A211" s="3">
        <v>44770</v>
      </c>
      <c r="B211" s="12" t="e">
        <f>_xlfn.XLOOKUP(Pályák!A211,Mars!A:A,Mars!B:B)</f>
        <v>#N/A</v>
      </c>
      <c r="C211" s="12" t="e">
        <f>_xlfn.XLOOKUP(Pályák!A211,Mars!A:A,Mars!C:C)</f>
        <v>#N/A</v>
      </c>
      <c r="D211" s="12" t="e">
        <f>_xlfn.XLOOKUP(Pályák!A211,Mars!A:A,Mars!D:D)</f>
        <v>#N/A</v>
      </c>
      <c r="E211" s="12" t="e">
        <f>_xlfn.XLOOKUP(Pályák!A211,Mars!A:A,Mars!E:E)&amp;""&amp;_xlfn.XLOOKUP(Pályák!A211,Mars!A:A,Mars!F:F)</f>
        <v>#N/A</v>
      </c>
      <c r="F211" s="12" t="e">
        <f>_xlfn.XLOOKUP(Pályák!A211,Mars!A:A,Mars!E:E)&amp;""&amp;_xlfn.XLOOKUP(Pályák!A211,Mars!A:A,Mars!G:G)</f>
        <v>#N/A</v>
      </c>
      <c r="G211" s="12" t="e">
        <f>_xlfn.XLOOKUP(Pályák!A211,Mars!A:A,Mars!E:E)&amp;""&amp;_xlfn.XLOOKUP(Pályák!A211,Mars!A:A,Mars!H:H)</f>
        <v>#N/A</v>
      </c>
    </row>
    <row r="212" spans="1:7" x14ac:dyDescent="0.25">
      <c r="A212" s="3">
        <v>44771</v>
      </c>
      <c r="B212" s="12" t="e">
        <f>_xlfn.XLOOKUP(Pályák!A212,Mars!A:A,Mars!B:B)</f>
        <v>#N/A</v>
      </c>
      <c r="C212" s="12" t="e">
        <f>_xlfn.XLOOKUP(Pályák!A212,Mars!A:A,Mars!C:C)</f>
        <v>#N/A</v>
      </c>
      <c r="D212" s="12" t="e">
        <f>_xlfn.XLOOKUP(Pályák!A212,Mars!A:A,Mars!D:D)</f>
        <v>#N/A</v>
      </c>
      <c r="E212" s="12" t="e">
        <f>_xlfn.XLOOKUP(Pályák!A212,Mars!A:A,Mars!E:E)&amp;""&amp;_xlfn.XLOOKUP(Pályák!A212,Mars!A:A,Mars!F:F)</f>
        <v>#N/A</v>
      </c>
      <c r="F212" s="12" t="e">
        <f>_xlfn.XLOOKUP(Pályák!A212,Mars!A:A,Mars!E:E)&amp;""&amp;_xlfn.XLOOKUP(Pályák!A212,Mars!A:A,Mars!G:G)</f>
        <v>#N/A</v>
      </c>
      <c r="G212" s="12" t="e">
        <f>_xlfn.XLOOKUP(Pályák!A212,Mars!A:A,Mars!E:E)&amp;""&amp;_xlfn.XLOOKUP(Pályák!A212,Mars!A:A,Mars!H:H)</f>
        <v>#N/A</v>
      </c>
    </row>
    <row r="213" spans="1:7" x14ac:dyDescent="0.25">
      <c r="A213" s="3">
        <v>44772</v>
      </c>
      <c r="B213" s="12" t="e">
        <f>_xlfn.XLOOKUP(Pályák!A213,Mars!A:A,Mars!B:B)</f>
        <v>#N/A</v>
      </c>
      <c r="C213" s="12" t="e">
        <f>_xlfn.XLOOKUP(Pályák!A213,Mars!A:A,Mars!C:C)</f>
        <v>#N/A</v>
      </c>
      <c r="D213" s="12" t="e">
        <f>_xlfn.XLOOKUP(Pályák!A213,Mars!A:A,Mars!D:D)</f>
        <v>#N/A</v>
      </c>
      <c r="E213" s="12" t="e">
        <f>_xlfn.XLOOKUP(Pályák!A213,Mars!A:A,Mars!E:E)&amp;""&amp;_xlfn.XLOOKUP(Pályák!A213,Mars!A:A,Mars!F:F)</f>
        <v>#N/A</v>
      </c>
      <c r="F213" s="12" t="e">
        <f>_xlfn.XLOOKUP(Pályák!A213,Mars!A:A,Mars!E:E)&amp;""&amp;_xlfn.XLOOKUP(Pályák!A213,Mars!A:A,Mars!G:G)</f>
        <v>#N/A</v>
      </c>
      <c r="G213" s="12" t="e">
        <f>_xlfn.XLOOKUP(Pályák!A213,Mars!A:A,Mars!E:E)&amp;""&amp;_xlfn.XLOOKUP(Pályák!A213,Mars!A:A,Mars!H:H)</f>
        <v>#N/A</v>
      </c>
    </row>
    <row r="214" spans="1:7" x14ac:dyDescent="0.25">
      <c r="A214" s="3">
        <v>44773</v>
      </c>
      <c r="B214" s="12" t="e">
        <f>_xlfn.XLOOKUP(Pályák!A214,Mars!A:A,Mars!B:B)</f>
        <v>#N/A</v>
      </c>
      <c r="C214" s="12" t="e">
        <f>_xlfn.XLOOKUP(Pályák!A214,Mars!A:A,Mars!C:C)</f>
        <v>#N/A</v>
      </c>
      <c r="D214" s="12" t="e">
        <f>_xlfn.XLOOKUP(Pályák!A214,Mars!A:A,Mars!D:D)</f>
        <v>#N/A</v>
      </c>
      <c r="E214" s="12" t="e">
        <f>_xlfn.XLOOKUP(Pályák!A214,Mars!A:A,Mars!E:E)&amp;""&amp;_xlfn.XLOOKUP(Pályák!A214,Mars!A:A,Mars!F:F)</f>
        <v>#N/A</v>
      </c>
      <c r="F214" s="12" t="e">
        <f>_xlfn.XLOOKUP(Pályák!A214,Mars!A:A,Mars!E:E)&amp;""&amp;_xlfn.XLOOKUP(Pályák!A214,Mars!A:A,Mars!G:G)</f>
        <v>#N/A</v>
      </c>
      <c r="G214" s="12" t="e">
        <f>_xlfn.XLOOKUP(Pályák!A214,Mars!A:A,Mars!E:E)&amp;""&amp;_xlfn.XLOOKUP(Pályák!A214,Mars!A:A,Mars!H:H)</f>
        <v>#N/A</v>
      </c>
    </row>
    <row r="215" spans="1:7" x14ac:dyDescent="0.25">
      <c r="A215" s="3">
        <v>44774</v>
      </c>
      <c r="B215" s="12">
        <f>_xlfn.XLOOKUP(Pályák!A215,Mars!A:A,Mars!B:B)</f>
        <v>3</v>
      </c>
      <c r="C215" s="12">
        <f>_xlfn.XLOOKUP(Pályák!A215,Mars!A:A,Mars!C:C)</f>
        <v>3</v>
      </c>
      <c r="D215" s="12">
        <f>_xlfn.XLOOKUP(Pályák!A215,Mars!A:A,Mars!D:D)</f>
        <v>8.1</v>
      </c>
      <c r="E215" s="12" t="str">
        <f>_xlfn.XLOOKUP(Pályák!A215,Mars!A:A,Mars!E:E)&amp;""&amp;_xlfn.XLOOKUP(Pályák!A215,Mars!A:A,Mars!F:F)</f>
        <v>+15</v>
      </c>
      <c r="F215" s="12" t="str">
        <f>_xlfn.XLOOKUP(Pályák!A215,Mars!A:A,Mars!E:E)&amp;""&amp;_xlfn.XLOOKUP(Pályák!A215,Mars!A:A,Mars!G:G)</f>
        <v>+30</v>
      </c>
      <c r="G215" s="12" t="str">
        <f>_xlfn.XLOOKUP(Pályák!A215,Mars!A:A,Mars!E:E)&amp;""&amp;_xlfn.XLOOKUP(Pályák!A215,Mars!A:A,Mars!H:H)</f>
        <v>+29,3</v>
      </c>
    </row>
    <row r="216" spans="1:7" x14ac:dyDescent="0.25">
      <c r="A216" s="3">
        <v>44775</v>
      </c>
      <c r="B216" s="12">
        <f>_xlfn.XLOOKUP(Pályák!A216,Mars!A:A,Mars!B:B)</f>
        <v>3</v>
      </c>
      <c r="C216" s="12">
        <f>_xlfn.XLOOKUP(Pályák!A216,Mars!A:A,Mars!C:C)</f>
        <v>5</v>
      </c>
      <c r="D216" s="12">
        <f>_xlfn.XLOOKUP(Pályák!A216,Mars!A:A,Mars!D:D)</f>
        <v>41.74</v>
      </c>
      <c r="E216" s="12" t="str">
        <f>_xlfn.XLOOKUP(Pályák!A216,Mars!A:A,Mars!E:E)&amp;""&amp;_xlfn.XLOOKUP(Pályák!A216,Mars!A:A,Mars!F:F)</f>
        <v>+15</v>
      </c>
      <c r="F216" s="12" t="str">
        <f>_xlfn.XLOOKUP(Pályák!A216,Mars!A:A,Mars!E:E)&amp;""&amp;_xlfn.XLOOKUP(Pályák!A216,Mars!A:A,Mars!G:G)</f>
        <v>+41</v>
      </c>
      <c r="G216" s="12" t="str">
        <f>_xlfn.XLOOKUP(Pályák!A216,Mars!A:A,Mars!E:E)&amp;""&amp;_xlfn.XLOOKUP(Pályák!A216,Mars!A:A,Mars!H:H)</f>
        <v>+36,5</v>
      </c>
    </row>
    <row r="217" spans="1:7" x14ac:dyDescent="0.25">
      <c r="A217" s="3">
        <v>44776</v>
      </c>
      <c r="B217" s="12">
        <f>_xlfn.XLOOKUP(Pályák!A217,Mars!A:A,Mars!B:B)</f>
        <v>3</v>
      </c>
      <c r="C217" s="12">
        <f>_xlfn.XLOOKUP(Pályák!A217,Mars!A:A,Mars!C:C)</f>
        <v>8</v>
      </c>
      <c r="D217" s="12">
        <f>_xlfn.XLOOKUP(Pályák!A217,Mars!A:A,Mars!D:D)</f>
        <v>15</v>
      </c>
      <c r="E217" s="12" t="str">
        <f>_xlfn.XLOOKUP(Pályák!A217,Mars!A:A,Mars!E:E)&amp;""&amp;_xlfn.XLOOKUP(Pályák!A217,Mars!A:A,Mars!F:F)</f>
        <v>+15</v>
      </c>
      <c r="F217" s="12" t="str">
        <f>_xlfn.XLOOKUP(Pályák!A217,Mars!A:A,Mars!E:E)&amp;""&amp;_xlfn.XLOOKUP(Pályák!A217,Mars!A:A,Mars!G:G)</f>
        <v>+52</v>
      </c>
      <c r="G217" s="12" t="str">
        <f>_xlfn.XLOOKUP(Pályák!A217,Mars!A:A,Mars!E:E)&amp;""&amp;_xlfn.XLOOKUP(Pályák!A217,Mars!A:A,Mars!H:H)</f>
        <v>+34,5</v>
      </c>
    </row>
    <row r="218" spans="1:7" x14ac:dyDescent="0.25">
      <c r="A218" s="3">
        <v>44777</v>
      </c>
      <c r="B218" s="12">
        <f>_xlfn.XLOOKUP(Pályák!A218,Mars!A:A,Mars!B:B)</f>
        <v>3</v>
      </c>
      <c r="C218" s="12">
        <f>_xlfn.XLOOKUP(Pályák!A218,Mars!A:A,Mars!C:C)</f>
        <v>10</v>
      </c>
      <c r="D218" s="12">
        <f>_xlfn.XLOOKUP(Pályák!A218,Mars!A:A,Mars!D:D)</f>
        <v>47.88</v>
      </c>
      <c r="E218" s="12" t="str">
        <f>_xlfn.XLOOKUP(Pályák!A218,Mars!A:A,Mars!E:E)&amp;""&amp;_xlfn.XLOOKUP(Pályák!A218,Mars!A:A,Mars!F:F)</f>
        <v>+16</v>
      </c>
      <c r="F218" s="12" t="str">
        <f>_xlfn.XLOOKUP(Pályák!A218,Mars!A:A,Mars!E:E)&amp;""&amp;_xlfn.XLOOKUP(Pályák!A218,Mars!A:A,Mars!G:G)</f>
        <v>+3</v>
      </c>
      <c r="G218" s="12" t="str">
        <f>_xlfn.XLOOKUP(Pályák!A218,Mars!A:A,Mars!E:E)&amp;""&amp;_xlfn.XLOOKUP(Pályák!A218,Mars!A:A,Mars!H:H)</f>
        <v>+23,2</v>
      </c>
    </row>
    <row r="219" spans="1:7" x14ac:dyDescent="0.25">
      <c r="A219" s="3">
        <v>44778</v>
      </c>
      <c r="B219" s="12">
        <f>_xlfn.XLOOKUP(Pályák!A219,Mars!A:A,Mars!B:B)</f>
        <v>3</v>
      </c>
      <c r="C219" s="12">
        <f>_xlfn.XLOOKUP(Pályák!A219,Mars!A:A,Mars!C:C)</f>
        <v>13</v>
      </c>
      <c r="D219" s="12">
        <f>_xlfn.XLOOKUP(Pályák!A219,Mars!A:A,Mars!D:D)</f>
        <v>20.36</v>
      </c>
      <c r="E219" s="12" t="str">
        <f>_xlfn.XLOOKUP(Pályák!A219,Mars!A:A,Mars!E:E)&amp;""&amp;_xlfn.XLOOKUP(Pályák!A219,Mars!A:A,Mars!F:F)</f>
        <v>+16</v>
      </c>
      <c r="F219" s="12" t="str">
        <f>_xlfn.XLOOKUP(Pályák!A219,Mars!A:A,Mars!E:E)&amp;""&amp;_xlfn.XLOOKUP(Pályák!A219,Mars!A:A,Mars!G:G)</f>
        <v>+14</v>
      </c>
      <c r="G219" s="12" t="str">
        <f>_xlfn.XLOOKUP(Pályák!A219,Mars!A:A,Mars!E:E)&amp;""&amp;_xlfn.XLOOKUP(Pályák!A219,Mars!A:A,Mars!H:H)</f>
        <v>+2,6</v>
      </c>
    </row>
    <row r="220" spans="1:7" x14ac:dyDescent="0.25">
      <c r="A220" s="3">
        <v>44779</v>
      </c>
      <c r="B220" s="12">
        <f>_xlfn.XLOOKUP(Pályák!A220,Mars!A:A,Mars!B:B)</f>
        <v>3</v>
      </c>
      <c r="C220" s="12">
        <f>_xlfn.XLOOKUP(Pályák!A220,Mars!A:A,Mars!C:C)</f>
        <v>15</v>
      </c>
      <c r="D220" s="12">
        <f>_xlfn.XLOOKUP(Pályák!A220,Mars!A:A,Mars!D:D)</f>
        <v>52.43</v>
      </c>
      <c r="E220" s="12" t="str">
        <f>_xlfn.XLOOKUP(Pályák!A220,Mars!A:A,Mars!E:E)&amp;""&amp;_xlfn.XLOOKUP(Pályák!A220,Mars!A:A,Mars!F:F)</f>
        <v>+16</v>
      </c>
      <c r="F220" s="12" t="str">
        <f>_xlfn.XLOOKUP(Pályák!A220,Mars!A:A,Mars!E:E)&amp;""&amp;_xlfn.XLOOKUP(Pályák!A220,Mars!A:A,Mars!G:G)</f>
        <v>+24</v>
      </c>
      <c r="G220" s="12" t="str">
        <f>_xlfn.XLOOKUP(Pályák!A220,Mars!A:A,Mars!E:E)&amp;""&amp;_xlfn.XLOOKUP(Pályák!A220,Mars!A:A,Mars!H:H)</f>
        <v>+32,7</v>
      </c>
    </row>
    <row r="221" spans="1:7" x14ac:dyDescent="0.25">
      <c r="A221" s="3">
        <v>44780</v>
      </c>
      <c r="B221" s="12">
        <f>_xlfn.XLOOKUP(Pályák!A221,Mars!A:A,Mars!B:B)</f>
        <v>3</v>
      </c>
      <c r="C221" s="12">
        <f>_xlfn.XLOOKUP(Pályák!A221,Mars!A:A,Mars!C:C)</f>
        <v>18</v>
      </c>
      <c r="D221" s="12">
        <f>_xlfn.XLOOKUP(Pályák!A221,Mars!A:A,Mars!D:D)</f>
        <v>24.08</v>
      </c>
      <c r="E221" s="12" t="str">
        <f>_xlfn.XLOOKUP(Pályák!A221,Mars!A:A,Mars!E:E)&amp;""&amp;_xlfn.XLOOKUP(Pályák!A221,Mars!A:A,Mars!F:F)</f>
        <v>+16</v>
      </c>
      <c r="F221" s="12" t="str">
        <f>_xlfn.XLOOKUP(Pályák!A221,Mars!A:A,Mars!E:E)&amp;""&amp;_xlfn.XLOOKUP(Pályák!A221,Mars!A:A,Mars!G:G)</f>
        <v>+34</v>
      </c>
      <c r="G221" s="12" t="str">
        <f>_xlfn.XLOOKUP(Pályák!A221,Mars!A:A,Mars!E:E)&amp;""&amp;_xlfn.XLOOKUP(Pályák!A221,Mars!A:A,Mars!H:H)</f>
        <v>+53,6</v>
      </c>
    </row>
    <row r="222" spans="1:7" x14ac:dyDescent="0.25">
      <c r="A222" s="3">
        <v>44781</v>
      </c>
      <c r="B222" s="12">
        <f>_xlfn.XLOOKUP(Pályák!A222,Mars!A:A,Mars!B:B)</f>
        <v>3</v>
      </c>
      <c r="C222" s="12">
        <f>_xlfn.XLOOKUP(Pályák!A222,Mars!A:A,Mars!C:C)</f>
        <v>20</v>
      </c>
      <c r="D222" s="12">
        <f>_xlfn.XLOOKUP(Pályák!A222,Mars!A:A,Mars!D:D)</f>
        <v>55.3</v>
      </c>
      <c r="E222" s="12" t="str">
        <f>_xlfn.XLOOKUP(Pályák!A222,Mars!A:A,Mars!E:E)&amp;""&amp;_xlfn.XLOOKUP(Pályák!A222,Mars!A:A,Mars!F:F)</f>
        <v>+16</v>
      </c>
      <c r="F222" s="12" t="str">
        <f>_xlfn.XLOOKUP(Pályák!A222,Mars!A:A,Mars!E:E)&amp;""&amp;_xlfn.XLOOKUP(Pályák!A222,Mars!A:A,Mars!G:G)</f>
        <v>+45</v>
      </c>
      <c r="G222" s="12" t="str">
        <f>_xlfn.XLOOKUP(Pályák!A222,Mars!A:A,Mars!E:E)&amp;""&amp;_xlfn.XLOOKUP(Pályák!A222,Mars!A:A,Mars!H:H)</f>
        <v>+5,1</v>
      </c>
    </row>
    <row r="223" spans="1:7" x14ac:dyDescent="0.25">
      <c r="A223" s="3">
        <v>44782</v>
      </c>
      <c r="B223" s="12">
        <f>_xlfn.XLOOKUP(Pályák!A223,Mars!A:A,Mars!B:B)</f>
        <v>3</v>
      </c>
      <c r="C223" s="12">
        <f>_xlfn.XLOOKUP(Pályák!A223,Mars!A:A,Mars!C:C)</f>
        <v>23</v>
      </c>
      <c r="D223" s="12">
        <f>_xlfn.XLOOKUP(Pályák!A223,Mars!A:A,Mars!D:D)</f>
        <v>26.08</v>
      </c>
      <c r="E223" s="12" t="str">
        <f>_xlfn.XLOOKUP(Pályák!A223,Mars!A:A,Mars!E:E)&amp;""&amp;_xlfn.XLOOKUP(Pályák!A223,Mars!A:A,Mars!F:F)</f>
        <v>+16</v>
      </c>
      <c r="F223" s="12" t="str">
        <f>_xlfn.XLOOKUP(Pályák!A223,Mars!A:A,Mars!E:E)&amp;""&amp;_xlfn.XLOOKUP(Pályák!A223,Mars!A:A,Mars!G:G)</f>
        <v>+55</v>
      </c>
      <c r="G223" s="12" t="str">
        <f>_xlfn.XLOOKUP(Pályák!A223,Mars!A:A,Mars!E:E)&amp;""&amp;_xlfn.XLOOKUP(Pályák!A223,Mars!A:A,Mars!H:H)</f>
        <v>+7,4</v>
      </c>
    </row>
    <row r="224" spans="1:7" x14ac:dyDescent="0.25">
      <c r="A224" s="3">
        <v>44783</v>
      </c>
      <c r="B224" s="12">
        <f>_xlfn.XLOOKUP(Pályák!A224,Mars!A:A,Mars!B:B)</f>
        <v>3</v>
      </c>
      <c r="C224" s="12">
        <f>_xlfn.XLOOKUP(Pályák!A224,Mars!A:A,Mars!C:C)</f>
        <v>25</v>
      </c>
      <c r="D224" s="12">
        <f>_xlfn.XLOOKUP(Pályák!A224,Mars!A:A,Mars!D:D)</f>
        <v>56.4</v>
      </c>
      <c r="E224" s="12" t="str">
        <f>_xlfn.XLOOKUP(Pályák!A224,Mars!A:A,Mars!E:E)&amp;""&amp;_xlfn.XLOOKUP(Pályák!A224,Mars!A:A,Mars!F:F)</f>
        <v>+17</v>
      </c>
      <c r="F224" s="12" t="str">
        <f>_xlfn.XLOOKUP(Pályák!A224,Mars!A:A,Mars!E:E)&amp;""&amp;_xlfn.XLOOKUP(Pályák!A224,Mars!A:A,Mars!G:G)</f>
        <v>+5</v>
      </c>
      <c r="G224" s="12" t="str">
        <f>_xlfn.XLOOKUP(Pályák!A224,Mars!A:A,Mars!E:E)&amp;""&amp;_xlfn.XLOOKUP(Pályák!A224,Mars!A:A,Mars!H:H)</f>
        <v>+0,4</v>
      </c>
    </row>
    <row r="225" spans="1:7" x14ac:dyDescent="0.25">
      <c r="A225" s="3">
        <v>44784</v>
      </c>
      <c r="B225" s="12">
        <f>_xlfn.XLOOKUP(Pályák!A225,Mars!A:A,Mars!B:B)</f>
        <v>3</v>
      </c>
      <c r="C225" s="12">
        <f>_xlfn.XLOOKUP(Pályák!A225,Mars!A:A,Mars!C:C)</f>
        <v>28</v>
      </c>
      <c r="D225" s="12">
        <f>_xlfn.XLOOKUP(Pályák!A225,Mars!A:A,Mars!D:D)</f>
        <v>26.26</v>
      </c>
      <c r="E225" s="12" t="str">
        <f>_xlfn.XLOOKUP(Pályák!A225,Mars!A:A,Mars!E:E)&amp;""&amp;_xlfn.XLOOKUP(Pályák!A225,Mars!A:A,Mars!F:F)</f>
        <v>+17</v>
      </c>
      <c r="F225" s="12" t="str">
        <f>_xlfn.XLOOKUP(Pályák!A225,Mars!A:A,Mars!E:E)&amp;""&amp;_xlfn.XLOOKUP(Pályák!A225,Mars!A:A,Mars!G:G)</f>
        <v>+14</v>
      </c>
      <c r="G225" s="12" t="str">
        <f>_xlfn.XLOOKUP(Pályák!A225,Mars!A:A,Mars!E:E)&amp;""&amp;_xlfn.XLOOKUP(Pályák!A225,Mars!A:A,Mars!H:H)</f>
        <v>+44,1</v>
      </c>
    </row>
    <row r="226" spans="1:7" x14ac:dyDescent="0.25">
      <c r="A226" s="3">
        <v>44785</v>
      </c>
      <c r="B226" s="12">
        <f>_xlfn.XLOOKUP(Pályák!A226,Mars!A:A,Mars!B:B)</f>
        <v>3</v>
      </c>
      <c r="C226" s="12">
        <f>_xlfn.XLOOKUP(Pályák!A226,Mars!A:A,Mars!C:C)</f>
        <v>30</v>
      </c>
      <c r="D226" s="12">
        <f>_xlfn.XLOOKUP(Pályák!A226,Mars!A:A,Mars!D:D)</f>
        <v>55.63</v>
      </c>
      <c r="E226" s="12" t="str">
        <f>_xlfn.XLOOKUP(Pályák!A226,Mars!A:A,Mars!E:E)&amp;""&amp;_xlfn.XLOOKUP(Pályák!A226,Mars!A:A,Mars!F:F)</f>
        <v>+17</v>
      </c>
      <c r="F226" s="12" t="str">
        <f>_xlfn.XLOOKUP(Pályák!A226,Mars!A:A,Mars!E:E)&amp;""&amp;_xlfn.XLOOKUP(Pályák!A226,Mars!A:A,Mars!G:G)</f>
        <v>+24</v>
      </c>
      <c r="G226" s="12" t="str">
        <f>_xlfn.XLOOKUP(Pályák!A226,Mars!A:A,Mars!E:E)&amp;""&amp;_xlfn.XLOOKUP(Pályák!A226,Mars!A:A,Mars!H:H)</f>
        <v>+18,6</v>
      </c>
    </row>
    <row r="227" spans="1:7" x14ac:dyDescent="0.25">
      <c r="A227" s="3">
        <v>44786</v>
      </c>
      <c r="B227" s="12">
        <f>_xlfn.XLOOKUP(Pályák!A227,Mars!A:A,Mars!B:B)</f>
        <v>3</v>
      </c>
      <c r="C227" s="12">
        <f>_xlfn.XLOOKUP(Pályák!A227,Mars!A:A,Mars!C:C)</f>
        <v>33</v>
      </c>
      <c r="D227" s="12">
        <f>_xlfn.XLOOKUP(Pályák!A227,Mars!A:A,Mars!D:D)</f>
        <v>24.51</v>
      </c>
      <c r="E227" s="12" t="str">
        <f>_xlfn.XLOOKUP(Pályák!A227,Mars!A:A,Mars!E:E)&amp;""&amp;_xlfn.XLOOKUP(Pályák!A227,Mars!A:A,Mars!F:F)</f>
        <v>+17</v>
      </c>
      <c r="F227" s="12" t="str">
        <f>_xlfn.XLOOKUP(Pályák!A227,Mars!A:A,Mars!E:E)&amp;""&amp;_xlfn.XLOOKUP(Pályák!A227,Mars!A:A,Mars!G:G)</f>
        <v>+33</v>
      </c>
      <c r="G227" s="12" t="str">
        <f>_xlfn.XLOOKUP(Pályák!A227,Mars!A:A,Mars!E:E)&amp;""&amp;_xlfn.XLOOKUP(Pályák!A227,Mars!A:A,Mars!H:H)</f>
        <v>+43,8</v>
      </c>
    </row>
    <row r="228" spans="1:7" x14ac:dyDescent="0.25">
      <c r="A228" s="3">
        <v>44787</v>
      </c>
      <c r="B228" s="12">
        <f>_xlfn.XLOOKUP(Pályák!A228,Mars!A:A,Mars!B:B)</f>
        <v>3</v>
      </c>
      <c r="C228" s="12">
        <f>_xlfn.XLOOKUP(Pályák!A228,Mars!A:A,Mars!C:C)</f>
        <v>35</v>
      </c>
      <c r="D228" s="12">
        <f>_xlfn.XLOOKUP(Pályák!A228,Mars!A:A,Mars!D:D)</f>
        <v>52.86</v>
      </c>
      <c r="E228" s="12" t="str">
        <f>_xlfn.XLOOKUP(Pályák!A228,Mars!A:A,Mars!E:E)&amp;""&amp;_xlfn.XLOOKUP(Pályák!A228,Mars!A:A,Mars!F:F)</f>
        <v>+17</v>
      </c>
      <c r="F228" s="12" t="str">
        <f>_xlfn.XLOOKUP(Pályák!A228,Mars!A:A,Mars!E:E)&amp;""&amp;_xlfn.XLOOKUP(Pályák!A228,Mars!A:A,Mars!G:G)</f>
        <v>+42</v>
      </c>
      <c r="G228" s="12" t="str">
        <f>_xlfn.XLOOKUP(Pályák!A228,Mars!A:A,Mars!E:E)&amp;""&amp;_xlfn.XLOOKUP(Pályák!A228,Mars!A:A,Mars!H:H)</f>
        <v>+59,8</v>
      </c>
    </row>
    <row r="229" spans="1:7" x14ac:dyDescent="0.25">
      <c r="A229" s="3">
        <v>44788</v>
      </c>
      <c r="B229" s="12">
        <f>_xlfn.XLOOKUP(Pályák!A229,Mars!A:A,Mars!B:B)</f>
        <v>3</v>
      </c>
      <c r="C229" s="12">
        <f>_xlfn.XLOOKUP(Pályák!A229,Mars!A:A,Mars!C:C)</f>
        <v>38</v>
      </c>
      <c r="D229" s="12">
        <f>_xlfn.XLOOKUP(Pályák!A229,Mars!A:A,Mars!D:D)</f>
        <v>20.69</v>
      </c>
      <c r="E229" s="12" t="str">
        <f>_xlfn.XLOOKUP(Pályák!A229,Mars!A:A,Mars!E:E)&amp;""&amp;_xlfn.XLOOKUP(Pályák!A229,Mars!A:A,Mars!F:F)</f>
        <v>+17</v>
      </c>
      <c r="F229" s="12" t="str">
        <f>_xlfn.XLOOKUP(Pályák!A229,Mars!A:A,Mars!E:E)&amp;""&amp;_xlfn.XLOOKUP(Pályák!A229,Mars!A:A,Mars!G:G)</f>
        <v>+52</v>
      </c>
      <c r="G229" s="12" t="str">
        <f>_xlfn.XLOOKUP(Pályák!A229,Mars!A:A,Mars!E:E)&amp;""&amp;_xlfn.XLOOKUP(Pályák!A229,Mars!A:A,Mars!H:H)</f>
        <v>+6,5</v>
      </c>
    </row>
    <row r="230" spans="1:7" x14ac:dyDescent="0.25">
      <c r="A230" s="3">
        <v>44789</v>
      </c>
      <c r="B230" s="12">
        <f>_xlfn.XLOOKUP(Pályák!A230,Mars!A:A,Mars!B:B)</f>
        <v>3</v>
      </c>
      <c r="C230" s="12">
        <f>_xlfn.XLOOKUP(Pályák!A230,Mars!A:A,Mars!C:C)</f>
        <v>40</v>
      </c>
      <c r="D230" s="12">
        <f>_xlfn.XLOOKUP(Pályák!A230,Mars!A:A,Mars!D:D)</f>
        <v>47.95</v>
      </c>
      <c r="E230" s="12" t="str">
        <f>_xlfn.XLOOKUP(Pályák!A230,Mars!A:A,Mars!E:E)&amp;""&amp;_xlfn.XLOOKUP(Pályák!A230,Mars!A:A,Mars!F:F)</f>
        <v>+18</v>
      </c>
      <c r="F230" s="12" t="str">
        <f>_xlfn.XLOOKUP(Pályák!A230,Mars!A:A,Mars!E:E)&amp;""&amp;_xlfn.XLOOKUP(Pályák!A230,Mars!A:A,Mars!G:G)</f>
        <v>+1</v>
      </c>
      <c r="G230" s="12" t="str">
        <f>_xlfn.XLOOKUP(Pályák!A230,Mars!A:A,Mars!E:E)&amp;""&amp;_xlfn.XLOOKUP(Pályák!A230,Mars!A:A,Mars!H:H)</f>
        <v>+3,8</v>
      </c>
    </row>
    <row r="231" spans="1:7" x14ac:dyDescent="0.25">
      <c r="A231" s="3">
        <v>44790</v>
      </c>
      <c r="B231" s="12">
        <f>_xlfn.XLOOKUP(Pályák!A231,Mars!A:A,Mars!B:B)</f>
        <v>3</v>
      </c>
      <c r="C231" s="12">
        <f>_xlfn.XLOOKUP(Pályák!A231,Mars!A:A,Mars!C:C)</f>
        <v>43</v>
      </c>
      <c r="D231" s="12">
        <f>_xlfn.XLOOKUP(Pályák!A231,Mars!A:A,Mars!D:D)</f>
        <v>14.63</v>
      </c>
      <c r="E231" s="12" t="str">
        <f>_xlfn.XLOOKUP(Pályák!A231,Mars!A:A,Mars!E:E)&amp;""&amp;_xlfn.XLOOKUP(Pályák!A231,Mars!A:A,Mars!F:F)</f>
        <v>+18</v>
      </c>
      <c r="F231" s="12" t="str">
        <f>_xlfn.XLOOKUP(Pályák!A231,Mars!A:A,Mars!E:E)&amp;""&amp;_xlfn.XLOOKUP(Pályák!A231,Mars!A:A,Mars!G:G)</f>
        <v>+9</v>
      </c>
      <c r="G231" s="12" t="str">
        <f>_xlfn.XLOOKUP(Pályák!A231,Mars!A:A,Mars!E:E)&amp;""&amp;_xlfn.XLOOKUP(Pályák!A231,Mars!A:A,Mars!H:H)</f>
        <v>+51,9</v>
      </c>
    </row>
    <row r="232" spans="1:7" x14ac:dyDescent="0.25">
      <c r="A232" s="3">
        <v>44791</v>
      </c>
      <c r="B232" s="12">
        <f>_xlfn.XLOOKUP(Pályák!A232,Mars!A:A,Mars!B:B)</f>
        <v>3</v>
      </c>
      <c r="C232" s="12">
        <f>_xlfn.XLOOKUP(Pályák!A232,Mars!A:A,Mars!C:C)</f>
        <v>45</v>
      </c>
      <c r="D232" s="12">
        <f>_xlfn.XLOOKUP(Pályák!A232,Mars!A:A,Mars!D:D)</f>
        <v>40.700000000000003</v>
      </c>
      <c r="E232" s="12" t="str">
        <f>_xlfn.XLOOKUP(Pályák!A232,Mars!A:A,Mars!E:E)&amp;""&amp;_xlfn.XLOOKUP(Pályák!A232,Mars!A:A,Mars!F:F)</f>
        <v>+18</v>
      </c>
      <c r="F232" s="12" t="str">
        <f>_xlfn.XLOOKUP(Pályák!A232,Mars!A:A,Mars!E:E)&amp;""&amp;_xlfn.XLOOKUP(Pályák!A232,Mars!A:A,Mars!G:G)</f>
        <v>+18</v>
      </c>
      <c r="G232" s="12" t="str">
        <f>_xlfn.XLOOKUP(Pályák!A232,Mars!A:A,Mars!E:E)&amp;""&amp;_xlfn.XLOOKUP(Pályák!A232,Mars!A:A,Mars!H:H)</f>
        <v>+30,8</v>
      </c>
    </row>
    <row r="233" spans="1:7" x14ac:dyDescent="0.25">
      <c r="A233" s="3">
        <v>44792</v>
      </c>
      <c r="B233" s="12">
        <f>_xlfn.XLOOKUP(Pályák!A233,Mars!A:A,Mars!B:B)</f>
        <v>3</v>
      </c>
      <c r="C233" s="12">
        <f>_xlfn.XLOOKUP(Pályák!A233,Mars!A:A,Mars!C:C)</f>
        <v>48</v>
      </c>
      <c r="D233" s="12">
        <f>_xlfn.XLOOKUP(Pályák!A233,Mars!A:A,Mars!D:D)</f>
        <v>6.14</v>
      </c>
      <c r="E233" s="12" t="str">
        <f>_xlfn.XLOOKUP(Pályák!A233,Mars!A:A,Mars!E:E)&amp;""&amp;_xlfn.XLOOKUP(Pályák!A233,Mars!A:A,Mars!F:F)</f>
        <v>+18</v>
      </c>
      <c r="F233" s="12" t="str">
        <f>_xlfn.XLOOKUP(Pályák!A233,Mars!A:A,Mars!E:E)&amp;""&amp;_xlfn.XLOOKUP(Pályák!A233,Mars!A:A,Mars!G:G)</f>
        <v>+27</v>
      </c>
      <c r="G233" s="12" t="str">
        <f>_xlfn.XLOOKUP(Pályák!A233,Mars!A:A,Mars!E:E)&amp;""&amp;_xlfn.XLOOKUP(Pályák!A233,Mars!A:A,Mars!H:H)</f>
        <v>+0,3</v>
      </c>
    </row>
    <row r="234" spans="1:7" x14ac:dyDescent="0.25">
      <c r="A234" s="3">
        <v>44793</v>
      </c>
      <c r="B234" s="12">
        <f>_xlfn.XLOOKUP(Pályák!A234,Mars!A:A,Mars!B:B)</f>
        <v>3</v>
      </c>
      <c r="C234" s="12">
        <f>_xlfn.XLOOKUP(Pályák!A234,Mars!A:A,Mars!C:C)</f>
        <v>50</v>
      </c>
      <c r="D234" s="12">
        <f>_xlfn.XLOOKUP(Pályák!A234,Mars!A:A,Mars!D:D)</f>
        <v>30.93</v>
      </c>
      <c r="E234" s="12" t="str">
        <f>_xlfn.XLOOKUP(Pályák!A234,Mars!A:A,Mars!E:E)&amp;""&amp;_xlfn.XLOOKUP(Pályák!A234,Mars!A:A,Mars!F:F)</f>
        <v>+18</v>
      </c>
      <c r="F234" s="12" t="str">
        <f>_xlfn.XLOOKUP(Pályák!A234,Mars!A:A,Mars!E:E)&amp;""&amp;_xlfn.XLOOKUP(Pályák!A234,Mars!A:A,Mars!G:G)</f>
        <v>+35</v>
      </c>
      <c r="G234" s="12" t="str">
        <f>_xlfn.XLOOKUP(Pályák!A234,Mars!A:A,Mars!E:E)&amp;""&amp;_xlfn.XLOOKUP(Pályák!A234,Mars!A:A,Mars!H:H)</f>
        <v>+20,6</v>
      </c>
    </row>
    <row r="235" spans="1:7" x14ac:dyDescent="0.25">
      <c r="A235" s="3">
        <v>44794</v>
      </c>
      <c r="B235" s="12">
        <f>_xlfn.XLOOKUP(Pályák!A235,Mars!A:A,Mars!B:B)</f>
        <v>3</v>
      </c>
      <c r="C235" s="12">
        <f>_xlfn.XLOOKUP(Pályák!A235,Mars!A:A,Mars!C:C)</f>
        <v>52</v>
      </c>
      <c r="D235" s="12">
        <f>_xlfn.XLOOKUP(Pályák!A235,Mars!A:A,Mars!D:D)</f>
        <v>55.03</v>
      </c>
      <c r="E235" s="12" t="str">
        <f>_xlfn.XLOOKUP(Pályák!A235,Mars!A:A,Mars!E:E)&amp;""&amp;_xlfn.XLOOKUP(Pályák!A235,Mars!A:A,Mars!F:F)</f>
        <v>+18</v>
      </c>
      <c r="F235" s="12" t="str">
        <f>_xlfn.XLOOKUP(Pályák!A235,Mars!A:A,Mars!E:E)&amp;""&amp;_xlfn.XLOOKUP(Pályák!A235,Mars!A:A,Mars!G:G)</f>
        <v>+43</v>
      </c>
      <c r="G235" s="12" t="str">
        <f>_xlfn.XLOOKUP(Pályák!A235,Mars!A:A,Mars!E:E)&amp;""&amp;_xlfn.XLOOKUP(Pályák!A235,Mars!A:A,Mars!H:H)</f>
        <v>+31,6</v>
      </c>
    </row>
    <row r="236" spans="1:7" x14ac:dyDescent="0.25">
      <c r="A236" s="3">
        <v>44795</v>
      </c>
      <c r="B236" s="12">
        <f>_xlfn.XLOOKUP(Pályák!A236,Mars!A:A,Mars!B:B)</f>
        <v>3</v>
      </c>
      <c r="C236" s="12">
        <f>_xlfn.XLOOKUP(Pályák!A236,Mars!A:A,Mars!C:C)</f>
        <v>55</v>
      </c>
      <c r="D236" s="12">
        <f>_xlfn.XLOOKUP(Pályák!A236,Mars!A:A,Mars!D:D)</f>
        <v>18.420000000000002</v>
      </c>
      <c r="E236" s="12" t="str">
        <f>_xlfn.XLOOKUP(Pályák!A236,Mars!A:A,Mars!E:E)&amp;""&amp;_xlfn.XLOOKUP(Pályák!A236,Mars!A:A,Mars!F:F)</f>
        <v>+18</v>
      </c>
      <c r="F236" s="12" t="str">
        <f>_xlfn.XLOOKUP(Pályák!A236,Mars!A:A,Mars!E:E)&amp;""&amp;_xlfn.XLOOKUP(Pályák!A236,Mars!A:A,Mars!G:G)</f>
        <v>+51</v>
      </c>
      <c r="G236" s="12" t="str">
        <f>_xlfn.XLOOKUP(Pályák!A236,Mars!A:A,Mars!E:E)&amp;""&amp;_xlfn.XLOOKUP(Pályák!A236,Mars!A:A,Mars!H:H)</f>
        <v>+33,3</v>
      </c>
    </row>
    <row r="237" spans="1:7" x14ac:dyDescent="0.25">
      <c r="A237" s="3">
        <v>44796</v>
      </c>
      <c r="B237" s="12">
        <f>_xlfn.XLOOKUP(Pályák!A237,Mars!A:A,Mars!B:B)</f>
        <v>3</v>
      </c>
      <c r="C237" s="12">
        <f>_xlfn.XLOOKUP(Pályák!A237,Mars!A:A,Mars!C:C)</f>
        <v>57</v>
      </c>
      <c r="D237" s="12">
        <f>_xlfn.XLOOKUP(Pályák!A237,Mars!A:A,Mars!D:D)</f>
        <v>41.08</v>
      </c>
      <c r="E237" s="12" t="str">
        <f>_xlfn.XLOOKUP(Pályák!A237,Mars!A:A,Mars!E:E)&amp;""&amp;_xlfn.XLOOKUP(Pályák!A237,Mars!A:A,Mars!F:F)</f>
        <v>+18</v>
      </c>
      <c r="F237" s="12" t="str">
        <f>_xlfn.XLOOKUP(Pályák!A237,Mars!A:A,Mars!E:E)&amp;""&amp;_xlfn.XLOOKUP(Pályák!A237,Mars!A:A,Mars!G:G)</f>
        <v>+59</v>
      </c>
      <c r="G237" s="12" t="str">
        <f>_xlfn.XLOOKUP(Pályák!A237,Mars!A:A,Mars!E:E)&amp;""&amp;_xlfn.XLOOKUP(Pályák!A237,Mars!A:A,Mars!H:H)</f>
        <v>+25,9</v>
      </c>
    </row>
    <row r="238" spans="1:7" x14ac:dyDescent="0.25">
      <c r="A238" s="3">
        <v>44797</v>
      </c>
      <c r="B238" s="12">
        <f>_xlfn.XLOOKUP(Pályák!A238,Mars!A:A,Mars!B:B)</f>
        <v>4</v>
      </c>
      <c r="C238" s="12">
        <f>_xlfn.XLOOKUP(Pályák!A238,Mars!A:A,Mars!C:C)</f>
        <v>0</v>
      </c>
      <c r="D238" s="12">
        <f>_xlfn.XLOOKUP(Pályák!A238,Mars!A:A,Mars!D:D)</f>
        <v>2.98</v>
      </c>
      <c r="E238" s="12" t="str">
        <f>_xlfn.XLOOKUP(Pályák!A238,Mars!A:A,Mars!E:E)&amp;""&amp;_xlfn.XLOOKUP(Pályák!A238,Mars!A:A,Mars!F:F)</f>
        <v>+19</v>
      </c>
      <c r="F238" s="12" t="str">
        <f>_xlfn.XLOOKUP(Pályák!A238,Mars!A:A,Mars!E:E)&amp;""&amp;_xlfn.XLOOKUP(Pályák!A238,Mars!A:A,Mars!G:G)</f>
        <v>+7</v>
      </c>
      <c r="G238" s="12" t="str">
        <f>_xlfn.XLOOKUP(Pályák!A238,Mars!A:A,Mars!E:E)&amp;""&amp;_xlfn.XLOOKUP(Pályák!A238,Mars!A:A,Mars!H:H)</f>
        <v>+9,3</v>
      </c>
    </row>
    <row r="239" spans="1:7" x14ac:dyDescent="0.25">
      <c r="A239" s="3">
        <v>44798</v>
      </c>
      <c r="B239" s="12">
        <f>_xlfn.XLOOKUP(Pályák!A239,Mars!A:A,Mars!B:B)</f>
        <v>4</v>
      </c>
      <c r="C239" s="12">
        <f>_xlfn.XLOOKUP(Pályák!A239,Mars!A:A,Mars!C:C)</f>
        <v>2</v>
      </c>
      <c r="D239" s="12">
        <f>_xlfn.XLOOKUP(Pályák!A239,Mars!A:A,Mars!D:D)</f>
        <v>24.09</v>
      </c>
      <c r="E239" s="12" t="str">
        <f>_xlfn.XLOOKUP(Pályák!A239,Mars!A:A,Mars!E:E)&amp;""&amp;_xlfn.XLOOKUP(Pályák!A239,Mars!A:A,Mars!F:F)</f>
        <v>+19</v>
      </c>
      <c r="F239" s="12" t="str">
        <f>_xlfn.XLOOKUP(Pályák!A239,Mars!A:A,Mars!E:E)&amp;""&amp;_xlfn.XLOOKUP(Pályák!A239,Mars!A:A,Mars!G:G)</f>
        <v>+14</v>
      </c>
      <c r="G239" s="12" t="str">
        <f>_xlfn.XLOOKUP(Pályák!A239,Mars!A:A,Mars!E:E)&amp;""&amp;_xlfn.XLOOKUP(Pályák!A239,Mars!A:A,Mars!H:H)</f>
        <v>+43,6</v>
      </c>
    </row>
    <row r="240" spans="1:7" x14ac:dyDescent="0.25">
      <c r="A240" s="3">
        <v>44799</v>
      </c>
      <c r="B240" s="12">
        <f>_xlfn.XLOOKUP(Pályák!A240,Mars!A:A,Mars!B:B)</f>
        <v>4</v>
      </c>
      <c r="C240" s="12">
        <f>_xlfn.XLOOKUP(Pályák!A240,Mars!A:A,Mars!C:C)</f>
        <v>4</v>
      </c>
      <c r="D240" s="12">
        <f>_xlfn.XLOOKUP(Pályák!A240,Mars!A:A,Mars!D:D)</f>
        <v>44.38</v>
      </c>
      <c r="E240" s="12" t="str">
        <f>_xlfn.XLOOKUP(Pályák!A240,Mars!A:A,Mars!E:E)&amp;""&amp;_xlfn.XLOOKUP(Pályák!A240,Mars!A:A,Mars!F:F)</f>
        <v>+19</v>
      </c>
      <c r="F240" s="12" t="str">
        <f>_xlfn.XLOOKUP(Pályák!A240,Mars!A:A,Mars!E:E)&amp;""&amp;_xlfn.XLOOKUP(Pályák!A240,Mars!A:A,Mars!G:G)</f>
        <v>+22</v>
      </c>
      <c r="G240" s="12" t="str">
        <f>_xlfn.XLOOKUP(Pályák!A240,Mars!A:A,Mars!E:E)&amp;""&amp;_xlfn.XLOOKUP(Pályák!A240,Mars!A:A,Mars!H:H)</f>
        <v>+8,8</v>
      </c>
    </row>
    <row r="241" spans="1:7" x14ac:dyDescent="0.25">
      <c r="A241" s="3">
        <v>44800</v>
      </c>
      <c r="B241" s="12">
        <f>_xlfn.XLOOKUP(Pályák!A241,Mars!A:A,Mars!B:B)</f>
        <v>4</v>
      </c>
      <c r="C241" s="12">
        <f>_xlfn.XLOOKUP(Pályák!A241,Mars!A:A,Mars!C:C)</f>
        <v>7</v>
      </c>
      <c r="D241" s="12">
        <f>_xlfn.XLOOKUP(Pályák!A241,Mars!A:A,Mars!D:D)</f>
        <v>3.82</v>
      </c>
      <c r="E241" s="12" t="str">
        <f>_xlfn.XLOOKUP(Pályák!A241,Mars!A:A,Mars!E:E)&amp;""&amp;_xlfn.XLOOKUP(Pályák!A241,Mars!A:A,Mars!F:F)</f>
        <v>+19</v>
      </c>
      <c r="F241" s="12" t="str">
        <f>_xlfn.XLOOKUP(Pályák!A241,Mars!A:A,Mars!E:E)&amp;""&amp;_xlfn.XLOOKUP(Pályák!A241,Mars!A:A,Mars!G:G)</f>
        <v>+29</v>
      </c>
      <c r="G241" s="12" t="str">
        <f>_xlfn.XLOOKUP(Pályák!A241,Mars!A:A,Mars!E:E)&amp;""&amp;_xlfn.XLOOKUP(Pályák!A241,Mars!A:A,Mars!H:H)</f>
        <v>+25</v>
      </c>
    </row>
    <row r="242" spans="1:7" x14ac:dyDescent="0.25">
      <c r="A242" s="3">
        <v>44801</v>
      </c>
      <c r="B242" s="12">
        <f>_xlfn.XLOOKUP(Pályák!A242,Mars!A:A,Mars!B:B)</f>
        <v>4</v>
      </c>
      <c r="C242" s="12">
        <f>_xlfn.XLOOKUP(Pályák!A242,Mars!A:A,Mars!C:C)</f>
        <v>9</v>
      </c>
      <c r="D242" s="12">
        <f>_xlfn.XLOOKUP(Pályák!A242,Mars!A:A,Mars!D:D)</f>
        <v>22.4</v>
      </c>
      <c r="E242" s="12" t="str">
        <f>_xlfn.XLOOKUP(Pályák!A242,Mars!A:A,Mars!E:E)&amp;""&amp;_xlfn.XLOOKUP(Pályák!A242,Mars!A:A,Mars!F:F)</f>
        <v>+19</v>
      </c>
      <c r="F242" s="12" t="str">
        <f>_xlfn.XLOOKUP(Pályák!A242,Mars!A:A,Mars!E:E)&amp;""&amp;_xlfn.XLOOKUP(Pályák!A242,Mars!A:A,Mars!G:G)</f>
        <v>+36</v>
      </c>
      <c r="G242" s="12" t="str">
        <f>_xlfn.XLOOKUP(Pályák!A242,Mars!A:A,Mars!E:E)&amp;""&amp;_xlfn.XLOOKUP(Pályák!A242,Mars!A:A,Mars!H:H)</f>
        <v>+32,3</v>
      </c>
    </row>
    <row r="243" spans="1:7" x14ac:dyDescent="0.25">
      <c r="A243" s="3">
        <v>44802</v>
      </c>
      <c r="B243" s="12">
        <f>_xlfn.XLOOKUP(Pályák!A243,Mars!A:A,Mars!B:B)</f>
        <v>4</v>
      </c>
      <c r="C243" s="12">
        <f>_xlfn.XLOOKUP(Pályák!A243,Mars!A:A,Mars!C:C)</f>
        <v>11</v>
      </c>
      <c r="D243" s="12">
        <f>_xlfn.XLOOKUP(Pályák!A243,Mars!A:A,Mars!D:D)</f>
        <v>40.08</v>
      </c>
      <c r="E243" s="12" t="str">
        <f>_xlfn.XLOOKUP(Pályák!A243,Mars!A:A,Mars!E:E)&amp;""&amp;_xlfn.XLOOKUP(Pályák!A243,Mars!A:A,Mars!F:F)</f>
        <v>+19</v>
      </c>
      <c r="F243" s="12" t="str">
        <f>_xlfn.XLOOKUP(Pályák!A243,Mars!A:A,Mars!E:E)&amp;""&amp;_xlfn.XLOOKUP(Pályák!A243,Mars!A:A,Mars!G:G)</f>
        <v>+43</v>
      </c>
      <c r="G243" s="12" t="str">
        <f>_xlfn.XLOOKUP(Pályák!A243,Mars!A:A,Mars!E:E)&amp;""&amp;_xlfn.XLOOKUP(Pályák!A243,Mars!A:A,Mars!H:H)</f>
        <v>+30,7</v>
      </c>
    </row>
    <row r="244" spans="1:7" x14ac:dyDescent="0.25">
      <c r="A244" s="3">
        <v>44803</v>
      </c>
      <c r="B244" s="12">
        <f>_xlfn.XLOOKUP(Pályák!A244,Mars!A:A,Mars!B:B)</f>
        <v>4</v>
      </c>
      <c r="C244" s="12">
        <f>_xlfn.XLOOKUP(Pályák!A244,Mars!A:A,Mars!C:C)</f>
        <v>13</v>
      </c>
      <c r="D244" s="12">
        <f>_xlfn.XLOOKUP(Pályák!A244,Mars!A:A,Mars!D:D)</f>
        <v>56.83</v>
      </c>
      <c r="E244" s="12" t="str">
        <f>_xlfn.XLOOKUP(Pályák!A244,Mars!A:A,Mars!E:E)&amp;""&amp;_xlfn.XLOOKUP(Pályák!A244,Mars!A:A,Mars!F:F)</f>
        <v>+19</v>
      </c>
      <c r="F244" s="12" t="str">
        <f>_xlfn.XLOOKUP(Pályák!A244,Mars!A:A,Mars!E:E)&amp;""&amp;_xlfn.XLOOKUP(Pályák!A244,Mars!A:A,Mars!G:G)</f>
        <v>+50</v>
      </c>
      <c r="G244" s="12" t="str">
        <f>_xlfn.XLOOKUP(Pályák!A244,Mars!A:A,Mars!E:E)&amp;""&amp;_xlfn.XLOOKUP(Pályák!A244,Mars!A:A,Mars!H:H)</f>
        <v>+20,3</v>
      </c>
    </row>
    <row r="245" spans="1:7" x14ac:dyDescent="0.25">
      <c r="A245" s="3">
        <v>44804</v>
      </c>
      <c r="B245" s="12">
        <f>_xlfn.XLOOKUP(Pályák!A245,Mars!A:A,Mars!B:B)</f>
        <v>4</v>
      </c>
      <c r="C245" s="12">
        <f>_xlfn.XLOOKUP(Pályák!A245,Mars!A:A,Mars!C:C)</f>
        <v>16</v>
      </c>
      <c r="D245" s="12">
        <f>_xlfn.XLOOKUP(Pályák!A245,Mars!A:A,Mars!D:D)</f>
        <v>12.63</v>
      </c>
      <c r="E245" s="12" t="str">
        <f>_xlfn.XLOOKUP(Pályák!A245,Mars!A:A,Mars!E:E)&amp;""&amp;_xlfn.XLOOKUP(Pályák!A245,Mars!A:A,Mars!F:F)</f>
        <v>+19</v>
      </c>
      <c r="F245" s="12" t="str">
        <f>_xlfn.XLOOKUP(Pályák!A245,Mars!A:A,Mars!E:E)&amp;""&amp;_xlfn.XLOOKUP(Pályák!A245,Mars!A:A,Mars!G:G)</f>
        <v>+57</v>
      </c>
      <c r="G245" s="12" t="str">
        <f>_xlfn.XLOOKUP(Pályák!A245,Mars!A:A,Mars!E:E)&amp;""&amp;_xlfn.XLOOKUP(Pályák!A245,Mars!A:A,Mars!H:H)</f>
        <v>+1,2</v>
      </c>
    </row>
    <row r="246" spans="1:7" x14ac:dyDescent="0.25">
      <c r="A246" s="3">
        <v>44805</v>
      </c>
      <c r="B246" s="12" t="e">
        <f>_xlfn.XLOOKUP(Pályák!A246,Mars!A:A,Mars!B:B)</f>
        <v>#N/A</v>
      </c>
      <c r="C246" s="12" t="e">
        <f>_xlfn.XLOOKUP(Pályák!A246,Mars!A:A,Mars!C:C)</f>
        <v>#N/A</v>
      </c>
      <c r="D246" s="12" t="e">
        <f>_xlfn.XLOOKUP(Pályák!A246,Mars!A:A,Mars!D:D)</f>
        <v>#N/A</v>
      </c>
      <c r="E246" s="12" t="e">
        <f>_xlfn.XLOOKUP(Pályák!A246,Mars!A:A,Mars!E:E)&amp;""&amp;_xlfn.XLOOKUP(Pályák!A246,Mars!A:A,Mars!F:F)</f>
        <v>#N/A</v>
      </c>
      <c r="F246" s="12" t="e">
        <f>_xlfn.XLOOKUP(Pályák!A246,Mars!A:A,Mars!E:E)&amp;""&amp;_xlfn.XLOOKUP(Pályák!A246,Mars!A:A,Mars!G:G)</f>
        <v>#N/A</v>
      </c>
      <c r="G246" s="12" t="e">
        <f>_xlfn.XLOOKUP(Pályák!A246,Mars!A:A,Mars!E:E)&amp;""&amp;_xlfn.XLOOKUP(Pályák!A246,Mars!A:A,Mars!H:H)</f>
        <v>#N/A</v>
      </c>
    </row>
    <row r="247" spans="1:7" x14ac:dyDescent="0.25">
      <c r="A247" s="3">
        <v>44806</v>
      </c>
      <c r="B247" s="12" t="e">
        <f>_xlfn.XLOOKUP(Pályák!A247,Mars!A:A,Mars!B:B)</f>
        <v>#N/A</v>
      </c>
      <c r="C247" s="12" t="e">
        <f>_xlfn.XLOOKUP(Pályák!A247,Mars!A:A,Mars!C:C)</f>
        <v>#N/A</v>
      </c>
      <c r="D247" s="12" t="e">
        <f>_xlfn.XLOOKUP(Pályák!A247,Mars!A:A,Mars!D:D)</f>
        <v>#N/A</v>
      </c>
      <c r="E247" s="12" t="e">
        <f>_xlfn.XLOOKUP(Pályák!A247,Mars!A:A,Mars!E:E)&amp;""&amp;_xlfn.XLOOKUP(Pályák!A247,Mars!A:A,Mars!F:F)</f>
        <v>#N/A</v>
      </c>
      <c r="F247" s="12" t="e">
        <f>_xlfn.XLOOKUP(Pályák!A247,Mars!A:A,Mars!E:E)&amp;""&amp;_xlfn.XLOOKUP(Pályák!A247,Mars!A:A,Mars!G:G)</f>
        <v>#N/A</v>
      </c>
      <c r="G247" s="12" t="e">
        <f>_xlfn.XLOOKUP(Pályák!A247,Mars!A:A,Mars!E:E)&amp;""&amp;_xlfn.XLOOKUP(Pályák!A247,Mars!A:A,Mars!H:H)</f>
        <v>#N/A</v>
      </c>
    </row>
    <row r="248" spans="1:7" x14ac:dyDescent="0.25">
      <c r="A248" s="3">
        <v>44807</v>
      </c>
      <c r="B248" s="12" t="e">
        <f>_xlfn.XLOOKUP(Pályák!A248,Mars!A:A,Mars!B:B)</f>
        <v>#N/A</v>
      </c>
      <c r="C248" s="12" t="e">
        <f>_xlfn.XLOOKUP(Pályák!A248,Mars!A:A,Mars!C:C)</f>
        <v>#N/A</v>
      </c>
      <c r="D248" s="12" t="e">
        <f>_xlfn.XLOOKUP(Pályák!A248,Mars!A:A,Mars!D:D)</f>
        <v>#N/A</v>
      </c>
      <c r="E248" s="12" t="e">
        <f>_xlfn.XLOOKUP(Pályák!A248,Mars!A:A,Mars!E:E)&amp;""&amp;_xlfn.XLOOKUP(Pályák!A248,Mars!A:A,Mars!F:F)</f>
        <v>#N/A</v>
      </c>
      <c r="F248" s="12" t="e">
        <f>_xlfn.XLOOKUP(Pályák!A248,Mars!A:A,Mars!E:E)&amp;""&amp;_xlfn.XLOOKUP(Pályák!A248,Mars!A:A,Mars!G:G)</f>
        <v>#N/A</v>
      </c>
      <c r="G248" s="12" t="e">
        <f>_xlfn.XLOOKUP(Pályák!A248,Mars!A:A,Mars!E:E)&amp;""&amp;_xlfn.XLOOKUP(Pályák!A248,Mars!A:A,Mars!H:H)</f>
        <v>#N/A</v>
      </c>
    </row>
    <row r="249" spans="1:7" x14ac:dyDescent="0.25">
      <c r="A249" s="3">
        <v>44808</v>
      </c>
      <c r="B249" s="12" t="e">
        <f>_xlfn.XLOOKUP(Pályák!A249,Mars!A:A,Mars!B:B)</f>
        <v>#N/A</v>
      </c>
      <c r="C249" s="12" t="e">
        <f>_xlfn.XLOOKUP(Pályák!A249,Mars!A:A,Mars!C:C)</f>
        <v>#N/A</v>
      </c>
      <c r="D249" s="12" t="e">
        <f>_xlfn.XLOOKUP(Pályák!A249,Mars!A:A,Mars!D:D)</f>
        <v>#N/A</v>
      </c>
      <c r="E249" s="12" t="e">
        <f>_xlfn.XLOOKUP(Pályák!A249,Mars!A:A,Mars!E:E)&amp;""&amp;_xlfn.XLOOKUP(Pályák!A249,Mars!A:A,Mars!F:F)</f>
        <v>#N/A</v>
      </c>
      <c r="F249" s="12" t="e">
        <f>_xlfn.XLOOKUP(Pályák!A249,Mars!A:A,Mars!E:E)&amp;""&amp;_xlfn.XLOOKUP(Pályák!A249,Mars!A:A,Mars!G:G)</f>
        <v>#N/A</v>
      </c>
      <c r="G249" s="12" t="e">
        <f>_xlfn.XLOOKUP(Pályák!A249,Mars!A:A,Mars!E:E)&amp;""&amp;_xlfn.XLOOKUP(Pályák!A249,Mars!A:A,Mars!H:H)</f>
        <v>#N/A</v>
      </c>
    </row>
    <row r="250" spans="1:7" x14ac:dyDescent="0.25">
      <c r="A250" s="3">
        <v>44809</v>
      </c>
      <c r="B250" s="12" t="e">
        <f>_xlfn.XLOOKUP(Pályák!A250,Mars!A:A,Mars!B:B)</f>
        <v>#N/A</v>
      </c>
      <c r="C250" s="12" t="e">
        <f>_xlfn.XLOOKUP(Pályák!A250,Mars!A:A,Mars!C:C)</f>
        <v>#N/A</v>
      </c>
      <c r="D250" s="12" t="e">
        <f>_xlfn.XLOOKUP(Pályák!A250,Mars!A:A,Mars!D:D)</f>
        <v>#N/A</v>
      </c>
      <c r="E250" s="12" t="e">
        <f>_xlfn.XLOOKUP(Pályák!A250,Mars!A:A,Mars!E:E)&amp;""&amp;_xlfn.XLOOKUP(Pályák!A250,Mars!A:A,Mars!F:F)</f>
        <v>#N/A</v>
      </c>
      <c r="F250" s="12" t="e">
        <f>_xlfn.XLOOKUP(Pályák!A250,Mars!A:A,Mars!E:E)&amp;""&amp;_xlfn.XLOOKUP(Pályák!A250,Mars!A:A,Mars!G:G)</f>
        <v>#N/A</v>
      </c>
      <c r="G250" s="12" t="e">
        <f>_xlfn.XLOOKUP(Pályák!A250,Mars!A:A,Mars!E:E)&amp;""&amp;_xlfn.XLOOKUP(Pályák!A250,Mars!A:A,Mars!H:H)</f>
        <v>#N/A</v>
      </c>
    </row>
    <row r="251" spans="1:7" x14ac:dyDescent="0.25">
      <c r="A251" s="3">
        <v>44810</v>
      </c>
      <c r="B251" s="12" t="e">
        <f>_xlfn.XLOOKUP(Pályák!A251,Mars!A:A,Mars!B:B)</f>
        <v>#N/A</v>
      </c>
      <c r="C251" s="12" t="e">
        <f>_xlfn.XLOOKUP(Pályák!A251,Mars!A:A,Mars!C:C)</f>
        <v>#N/A</v>
      </c>
      <c r="D251" s="12" t="e">
        <f>_xlfn.XLOOKUP(Pályák!A251,Mars!A:A,Mars!D:D)</f>
        <v>#N/A</v>
      </c>
      <c r="E251" s="12" t="e">
        <f>_xlfn.XLOOKUP(Pályák!A251,Mars!A:A,Mars!E:E)&amp;""&amp;_xlfn.XLOOKUP(Pályák!A251,Mars!A:A,Mars!F:F)</f>
        <v>#N/A</v>
      </c>
      <c r="F251" s="12" t="e">
        <f>_xlfn.XLOOKUP(Pályák!A251,Mars!A:A,Mars!E:E)&amp;""&amp;_xlfn.XLOOKUP(Pályák!A251,Mars!A:A,Mars!G:G)</f>
        <v>#N/A</v>
      </c>
      <c r="G251" s="12" t="e">
        <f>_xlfn.XLOOKUP(Pályák!A251,Mars!A:A,Mars!E:E)&amp;""&amp;_xlfn.XLOOKUP(Pályák!A251,Mars!A:A,Mars!H:H)</f>
        <v>#N/A</v>
      </c>
    </row>
    <row r="252" spans="1:7" x14ac:dyDescent="0.25">
      <c r="A252" s="3">
        <v>44811</v>
      </c>
      <c r="B252" s="12" t="e">
        <f>_xlfn.XLOOKUP(Pályák!A252,Mars!A:A,Mars!B:B)</f>
        <v>#N/A</v>
      </c>
      <c r="C252" s="12" t="e">
        <f>_xlfn.XLOOKUP(Pályák!A252,Mars!A:A,Mars!C:C)</f>
        <v>#N/A</v>
      </c>
      <c r="D252" s="12" t="e">
        <f>_xlfn.XLOOKUP(Pályák!A252,Mars!A:A,Mars!D:D)</f>
        <v>#N/A</v>
      </c>
      <c r="E252" s="12" t="e">
        <f>_xlfn.XLOOKUP(Pályák!A252,Mars!A:A,Mars!E:E)&amp;""&amp;_xlfn.XLOOKUP(Pályák!A252,Mars!A:A,Mars!F:F)</f>
        <v>#N/A</v>
      </c>
      <c r="F252" s="12" t="e">
        <f>_xlfn.XLOOKUP(Pályák!A252,Mars!A:A,Mars!E:E)&amp;""&amp;_xlfn.XLOOKUP(Pályák!A252,Mars!A:A,Mars!G:G)</f>
        <v>#N/A</v>
      </c>
      <c r="G252" s="12" t="e">
        <f>_xlfn.XLOOKUP(Pályák!A252,Mars!A:A,Mars!E:E)&amp;""&amp;_xlfn.XLOOKUP(Pályák!A252,Mars!A:A,Mars!H:H)</f>
        <v>#N/A</v>
      </c>
    </row>
    <row r="253" spans="1:7" x14ac:dyDescent="0.25">
      <c r="A253" s="3">
        <v>44812</v>
      </c>
      <c r="B253" s="12" t="e">
        <f>_xlfn.XLOOKUP(Pályák!A253,Mars!A:A,Mars!B:B)</f>
        <v>#N/A</v>
      </c>
      <c r="C253" s="12" t="e">
        <f>_xlfn.XLOOKUP(Pályák!A253,Mars!A:A,Mars!C:C)</f>
        <v>#N/A</v>
      </c>
      <c r="D253" s="12" t="e">
        <f>_xlfn.XLOOKUP(Pályák!A253,Mars!A:A,Mars!D:D)</f>
        <v>#N/A</v>
      </c>
      <c r="E253" s="12" t="e">
        <f>_xlfn.XLOOKUP(Pályák!A253,Mars!A:A,Mars!E:E)&amp;""&amp;_xlfn.XLOOKUP(Pályák!A253,Mars!A:A,Mars!F:F)</f>
        <v>#N/A</v>
      </c>
      <c r="F253" s="12" t="e">
        <f>_xlfn.XLOOKUP(Pályák!A253,Mars!A:A,Mars!E:E)&amp;""&amp;_xlfn.XLOOKUP(Pályák!A253,Mars!A:A,Mars!G:G)</f>
        <v>#N/A</v>
      </c>
      <c r="G253" s="12" t="e">
        <f>_xlfn.XLOOKUP(Pályák!A253,Mars!A:A,Mars!E:E)&amp;""&amp;_xlfn.XLOOKUP(Pályák!A253,Mars!A:A,Mars!H:H)</f>
        <v>#N/A</v>
      </c>
    </row>
    <row r="254" spans="1:7" x14ac:dyDescent="0.25">
      <c r="A254" s="3">
        <v>44813</v>
      </c>
      <c r="B254" s="12" t="e">
        <f>_xlfn.XLOOKUP(Pályák!A254,Mars!A:A,Mars!B:B)</f>
        <v>#N/A</v>
      </c>
      <c r="C254" s="12" t="e">
        <f>_xlfn.XLOOKUP(Pályák!A254,Mars!A:A,Mars!C:C)</f>
        <v>#N/A</v>
      </c>
      <c r="D254" s="12" t="e">
        <f>_xlfn.XLOOKUP(Pályák!A254,Mars!A:A,Mars!D:D)</f>
        <v>#N/A</v>
      </c>
      <c r="E254" s="12" t="e">
        <f>_xlfn.XLOOKUP(Pályák!A254,Mars!A:A,Mars!E:E)&amp;""&amp;_xlfn.XLOOKUP(Pályák!A254,Mars!A:A,Mars!F:F)</f>
        <v>#N/A</v>
      </c>
      <c r="F254" s="12" t="e">
        <f>_xlfn.XLOOKUP(Pályák!A254,Mars!A:A,Mars!E:E)&amp;""&amp;_xlfn.XLOOKUP(Pályák!A254,Mars!A:A,Mars!G:G)</f>
        <v>#N/A</v>
      </c>
      <c r="G254" s="12" t="e">
        <f>_xlfn.XLOOKUP(Pályák!A254,Mars!A:A,Mars!E:E)&amp;""&amp;_xlfn.XLOOKUP(Pályák!A254,Mars!A:A,Mars!H:H)</f>
        <v>#N/A</v>
      </c>
    </row>
    <row r="255" spans="1:7" x14ac:dyDescent="0.25">
      <c r="A255" s="3">
        <v>44814</v>
      </c>
      <c r="B255" s="12" t="e">
        <f>_xlfn.XLOOKUP(Pályák!A255,Mars!A:A,Mars!B:B)</f>
        <v>#N/A</v>
      </c>
      <c r="C255" s="12" t="e">
        <f>_xlfn.XLOOKUP(Pályák!A255,Mars!A:A,Mars!C:C)</f>
        <v>#N/A</v>
      </c>
      <c r="D255" s="12" t="e">
        <f>_xlfn.XLOOKUP(Pályák!A255,Mars!A:A,Mars!D:D)</f>
        <v>#N/A</v>
      </c>
      <c r="E255" s="12" t="e">
        <f>_xlfn.XLOOKUP(Pályák!A255,Mars!A:A,Mars!E:E)&amp;""&amp;_xlfn.XLOOKUP(Pályák!A255,Mars!A:A,Mars!F:F)</f>
        <v>#N/A</v>
      </c>
      <c r="F255" s="12" t="e">
        <f>_xlfn.XLOOKUP(Pályák!A255,Mars!A:A,Mars!E:E)&amp;""&amp;_xlfn.XLOOKUP(Pályák!A255,Mars!A:A,Mars!G:G)</f>
        <v>#N/A</v>
      </c>
      <c r="G255" s="12" t="e">
        <f>_xlfn.XLOOKUP(Pályák!A255,Mars!A:A,Mars!E:E)&amp;""&amp;_xlfn.XLOOKUP(Pályák!A255,Mars!A:A,Mars!H:H)</f>
        <v>#N/A</v>
      </c>
    </row>
    <row r="256" spans="1:7" x14ac:dyDescent="0.25">
      <c r="A256" s="3">
        <v>44815</v>
      </c>
      <c r="B256" s="12" t="e">
        <f>_xlfn.XLOOKUP(Pályák!A256,Mars!A:A,Mars!B:B)</f>
        <v>#N/A</v>
      </c>
      <c r="C256" s="12" t="e">
        <f>_xlfn.XLOOKUP(Pályák!A256,Mars!A:A,Mars!C:C)</f>
        <v>#N/A</v>
      </c>
      <c r="D256" s="12" t="e">
        <f>_xlfn.XLOOKUP(Pályák!A256,Mars!A:A,Mars!D:D)</f>
        <v>#N/A</v>
      </c>
      <c r="E256" s="12" t="e">
        <f>_xlfn.XLOOKUP(Pályák!A256,Mars!A:A,Mars!E:E)&amp;""&amp;_xlfn.XLOOKUP(Pályák!A256,Mars!A:A,Mars!F:F)</f>
        <v>#N/A</v>
      </c>
      <c r="F256" s="12" t="e">
        <f>_xlfn.XLOOKUP(Pályák!A256,Mars!A:A,Mars!E:E)&amp;""&amp;_xlfn.XLOOKUP(Pályák!A256,Mars!A:A,Mars!G:G)</f>
        <v>#N/A</v>
      </c>
      <c r="G256" s="12" t="e">
        <f>_xlfn.XLOOKUP(Pályák!A256,Mars!A:A,Mars!E:E)&amp;""&amp;_xlfn.XLOOKUP(Pályák!A256,Mars!A:A,Mars!H:H)</f>
        <v>#N/A</v>
      </c>
    </row>
    <row r="257" spans="1:7" x14ac:dyDescent="0.25">
      <c r="A257" s="3">
        <v>44816</v>
      </c>
      <c r="B257" s="12" t="e">
        <f>_xlfn.XLOOKUP(Pályák!A257,Mars!A:A,Mars!B:B)</f>
        <v>#N/A</v>
      </c>
      <c r="C257" s="12" t="e">
        <f>_xlfn.XLOOKUP(Pályák!A257,Mars!A:A,Mars!C:C)</f>
        <v>#N/A</v>
      </c>
      <c r="D257" s="12" t="e">
        <f>_xlfn.XLOOKUP(Pályák!A257,Mars!A:A,Mars!D:D)</f>
        <v>#N/A</v>
      </c>
      <c r="E257" s="12" t="e">
        <f>_xlfn.XLOOKUP(Pályák!A257,Mars!A:A,Mars!E:E)&amp;""&amp;_xlfn.XLOOKUP(Pályák!A257,Mars!A:A,Mars!F:F)</f>
        <v>#N/A</v>
      </c>
      <c r="F257" s="12" t="e">
        <f>_xlfn.XLOOKUP(Pályák!A257,Mars!A:A,Mars!E:E)&amp;""&amp;_xlfn.XLOOKUP(Pályák!A257,Mars!A:A,Mars!G:G)</f>
        <v>#N/A</v>
      </c>
      <c r="G257" s="12" t="e">
        <f>_xlfn.XLOOKUP(Pályák!A257,Mars!A:A,Mars!E:E)&amp;""&amp;_xlfn.XLOOKUP(Pályák!A257,Mars!A:A,Mars!H:H)</f>
        <v>#N/A</v>
      </c>
    </row>
    <row r="258" spans="1:7" x14ac:dyDescent="0.25">
      <c r="A258" s="3">
        <v>44817</v>
      </c>
      <c r="B258" s="12" t="e">
        <f>_xlfn.XLOOKUP(Pályák!A258,Mars!A:A,Mars!B:B)</f>
        <v>#N/A</v>
      </c>
      <c r="C258" s="12" t="e">
        <f>_xlfn.XLOOKUP(Pályák!A258,Mars!A:A,Mars!C:C)</f>
        <v>#N/A</v>
      </c>
      <c r="D258" s="12" t="e">
        <f>_xlfn.XLOOKUP(Pályák!A258,Mars!A:A,Mars!D:D)</f>
        <v>#N/A</v>
      </c>
      <c r="E258" s="12" t="e">
        <f>_xlfn.XLOOKUP(Pályák!A258,Mars!A:A,Mars!E:E)&amp;""&amp;_xlfn.XLOOKUP(Pályák!A258,Mars!A:A,Mars!F:F)</f>
        <v>#N/A</v>
      </c>
      <c r="F258" s="12" t="e">
        <f>_xlfn.XLOOKUP(Pályák!A258,Mars!A:A,Mars!E:E)&amp;""&amp;_xlfn.XLOOKUP(Pályák!A258,Mars!A:A,Mars!G:G)</f>
        <v>#N/A</v>
      </c>
      <c r="G258" s="12" t="e">
        <f>_xlfn.XLOOKUP(Pályák!A258,Mars!A:A,Mars!E:E)&amp;""&amp;_xlfn.XLOOKUP(Pályák!A258,Mars!A:A,Mars!H:H)</f>
        <v>#N/A</v>
      </c>
    </row>
    <row r="259" spans="1:7" x14ac:dyDescent="0.25">
      <c r="A259" s="3">
        <v>44818</v>
      </c>
      <c r="B259" s="12" t="e">
        <f>_xlfn.XLOOKUP(Pályák!A259,Mars!A:A,Mars!B:B)</f>
        <v>#N/A</v>
      </c>
      <c r="C259" s="12" t="e">
        <f>_xlfn.XLOOKUP(Pályák!A259,Mars!A:A,Mars!C:C)</f>
        <v>#N/A</v>
      </c>
      <c r="D259" s="12" t="e">
        <f>_xlfn.XLOOKUP(Pályák!A259,Mars!A:A,Mars!D:D)</f>
        <v>#N/A</v>
      </c>
      <c r="E259" s="12" t="e">
        <f>_xlfn.XLOOKUP(Pályák!A259,Mars!A:A,Mars!E:E)&amp;""&amp;_xlfn.XLOOKUP(Pályák!A259,Mars!A:A,Mars!F:F)</f>
        <v>#N/A</v>
      </c>
      <c r="F259" s="12" t="e">
        <f>_xlfn.XLOOKUP(Pályák!A259,Mars!A:A,Mars!E:E)&amp;""&amp;_xlfn.XLOOKUP(Pályák!A259,Mars!A:A,Mars!G:G)</f>
        <v>#N/A</v>
      </c>
      <c r="G259" s="12" t="e">
        <f>_xlfn.XLOOKUP(Pályák!A259,Mars!A:A,Mars!E:E)&amp;""&amp;_xlfn.XLOOKUP(Pályák!A259,Mars!A:A,Mars!H:H)</f>
        <v>#N/A</v>
      </c>
    </row>
    <row r="260" spans="1:7" x14ac:dyDescent="0.25">
      <c r="A260" s="3">
        <v>44819</v>
      </c>
      <c r="B260" s="12" t="e">
        <f>_xlfn.XLOOKUP(Pályák!A260,Mars!A:A,Mars!B:B)</f>
        <v>#N/A</v>
      </c>
      <c r="C260" s="12" t="e">
        <f>_xlfn.XLOOKUP(Pályák!A260,Mars!A:A,Mars!C:C)</f>
        <v>#N/A</v>
      </c>
      <c r="D260" s="12" t="e">
        <f>_xlfn.XLOOKUP(Pályák!A260,Mars!A:A,Mars!D:D)</f>
        <v>#N/A</v>
      </c>
      <c r="E260" s="12" t="e">
        <f>_xlfn.XLOOKUP(Pályák!A260,Mars!A:A,Mars!E:E)&amp;""&amp;_xlfn.XLOOKUP(Pályák!A260,Mars!A:A,Mars!F:F)</f>
        <v>#N/A</v>
      </c>
      <c r="F260" s="12" t="e">
        <f>_xlfn.XLOOKUP(Pályák!A260,Mars!A:A,Mars!E:E)&amp;""&amp;_xlfn.XLOOKUP(Pályák!A260,Mars!A:A,Mars!G:G)</f>
        <v>#N/A</v>
      </c>
      <c r="G260" s="12" t="e">
        <f>_xlfn.XLOOKUP(Pályák!A260,Mars!A:A,Mars!E:E)&amp;""&amp;_xlfn.XLOOKUP(Pályák!A260,Mars!A:A,Mars!H:H)</f>
        <v>#N/A</v>
      </c>
    </row>
    <row r="261" spans="1:7" x14ac:dyDescent="0.25">
      <c r="A261" s="3">
        <v>44820</v>
      </c>
      <c r="B261" s="12" t="e">
        <f>_xlfn.XLOOKUP(Pályák!A261,Mars!A:A,Mars!B:B)</f>
        <v>#N/A</v>
      </c>
      <c r="C261" s="12" t="e">
        <f>_xlfn.XLOOKUP(Pályák!A261,Mars!A:A,Mars!C:C)</f>
        <v>#N/A</v>
      </c>
      <c r="D261" s="12" t="e">
        <f>_xlfn.XLOOKUP(Pályák!A261,Mars!A:A,Mars!D:D)</f>
        <v>#N/A</v>
      </c>
      <c r="E261" s="12" t="e">
        <f>_xlfn.XLOOKUP(Pályák!A261,Mars!A:A,Mars!E:E)&amp;""&amp;_xlfn.XLOOKUP(Pályák!A261,Mars!A:A,Mars!F:F)</f>
        <v>#N/A</v>
      </c>
      <c r="F261" s="12" t="e">
        <f>_xlfn.XLOOKUP(Pályák!A261,Mars!A:A,Mars!E:E)&amp;""&amp;_xlfn.XLOOKUP(Pályák!A261,Mars!A:A,Mars!G:G)</f>
        <v>#N/A</v>
      </c>
      <c r="G261" s="12" t="e">
        <f>_xlfn.XLOOKUP(Pályák!A261,Mars!A:A,Mars!E:E)&amp;""&amp;_xlfn.XLOOKUP(Pályák!A261,Mars!A:A,Mars!H:H)</f>
        <v>#N/A</v>
      </c>
    </row>
    <row r="262" spans="1:7" x14ac:dyDescent="0.25">
      <c r="A262" s="3">
        <v>44821</v>
      </c>
      <c r="B262" s="12" t="e">
        <f>_xlfn.XLOOKUP(Pályák!A262,Mars!A:A,Mars!B:B)</f>
        <v>#N/A</v>
      </c>
      <c r="C262" s="12" t="e">
        <f>_xlfn.XLOOKUP(Pályák!A262,Mars!A:A,Mars!C:C)</f>
        <v>#N/A</v>
      </c>
      <c r="D262" s="12" t="e">
        <f>_xlfn.XLOOKUP(Pályák!A262,Mars!A:A,Mars!D:D)</f>
        <v>#N/A</v>
      </c>
      <c r="E262" s="12" t="e">
        <f>_xlfn.XLOOKUP(Pályák!A262,Mars!A:A,Mars!E:E)&amp;""&amp;_xlfn.XLOOKUP(Pályák!A262,Mars!A:A,Mars!F:F)</f>
        <v>#N/A</v>
      </c>
      <c r="F262" s="12" t="e">
        <f>_xlfn.XLOOKUP(Pályák!A262,Mars!A:A,Mars!E:E)&amp;""&amp;_xlfn.XLOOKUP(Pályák!A262,Mars!A:A,Mars!G:G)</f>
        <v>#N/A</v>
      </c>
      <c r="G262" s="12" t="e">
        <f>_xlfn.XLOOKUP(Pályák!A262,Mars!A:A,Mars!E:E)&amp;""&amp;_xlfn.XLOOKUP(Pályák!A262,Mars!A:A,Mars!H:H)</f>
        <v>#N/A</v>
      </c>
    </row>
    <row r="263" spans="1:7" x14ac:dyDescent="0.25">
      <c r="A263" s="3">
        <v>44822</v>
      </c>
      <c r="B263" s="12" t="e">
        <f>_xlfn.XLOOKUP(Pályák!A263,Mars!A:A,Mars!B:B)</f>
        <v>#N/A</v>
      </c>
      <c r="C263" s="12" t="e">
        <f>_xlfn.XLOOKUP(Pályák!A263,Mars!A:A,Mars!C:C)</f>
        <v>#N/A</v>
      </c>
      <c r="D263" s="12" t="e">
        <f>_xlfn.XLOOKUP(Pályák!A263,Mars!A:A,Mars!D:D)</f>
        <v>#N/A</v>
      </c>
      <c r="E263" s="12" t="e">
        <f>_xlfn.XLOOKUP(Pályák!A263,Mars!A:A,Mars!E:E)&amp;""&amp;_xlfn.XLOOKUP(Pályák!A263,Mars!A:A,Mars!F:F)</f>
        <v>#N/A</v>
      </c>
      <c r="F263" s="12" t="e">
        <f>_xlfn.XLOOKUP(Pályák!A263,Mars!A:A,Mars!E:E)&amp;""&amp;_xlfn.XLOOKUP(Pályák!A263,Mars!A:A,Mars!G:G)</f>
        <v>#N/A</v>
      </c>
      <c r="G263" s="12" t="e">
        <f>_xlfn.XLOOKUP(Pályák!A263,Mars!A:A,Mars!E:E)&amp;""&amp;_xlfn.XLOOKUP(Pályák!A263,Mars!A:A,Mars!H:H)</f>
        <v>#N/A</v>
      </c>
    </row>
    <row r="264" spans="1:7" x14ac:dyDescent="0.25">
      <c r="A264" s="3">
        <v>44823</v>
      </c>
      <c r="B264" s="12" t="e">
        <f>_xlfn.XLOOKUP(Pályák!A264,Mars!A:A,Mars!B:B)</f>
        <v>#N/A</v>
      </c>
      <c r="C264" s="12" t="e">
        <f>_xlfn.XLOOKUP(Pályák!A264,Mars!A:A,Mars!C:C)</f>
        <v>#N/A</v>
      </c>
      <c r="D264" s="12" t="e">
        <f>_xlfn.XLOOKUP(Pályák!A264,Mars!A:A,Mars!D:D)</f>
        <v>#N/A</v>
      </c>
      <c r="E264" s="12" t="e">
        <f>_xlfn.XLOOKUP(Pályák!A264,Mars!A:A,Mars!E:E)&amp;""&amp;_xlfn.XLOOKUP(Pályák!A264,Mars!A:A,Mars!F:F)</f>
        <v>#N/A</v>
      </c>
      <c r="F264" s="12" t="e">
        <f>_xlfn.XLOOKUP(Pályák!A264,Mars!A:A,Mars!E:E)&amp;""&amp;_xlfn.XLOOKUP(Pályák!A264,Mars!A:A,Mars!G:G)</f>
        <v>#N/A</v>
      </c>
      <c r="G264" s="12" t="e">
        <f>_xlfn.XLOOKUP(Pályák!A264,Mars!A:A,Mars!E:E)&amp;""&amp;_xlfn.XLOOKUP(Pályák!A264,Mars!A:A,Mars!H:H)</f>
        <v>#N/A</v>
      </c>
    </row>
    <row r="265" spans="1:7" x14ac:dyDescent="0.25">
      <c r="A265" s="3">
        <v>44824</v>
      </c>
      <c r="B265" s="12" t="e">
        <f>_xlfn.XLOOKUP(Pályák!A265,Mars!A:A,Mars!B:B)</f>
        <v>#N/A</v>
      </c>
      <c r="C265" s="12" t="e">
        <f>_xlfn.XLOOKUP(Pályák!A265,Mars!A:A,Mars!C:C)</f>
        <v>#N/A</v>
      </c>
      <c r="D265" s="12" t="e">
        <f>_xlfn.XLOOKUP(Pályák!A265,Mars!A:A,Mars!D:D)</f>
        <v>#N/A</v>
      </c>
      <c r="E265" s="12" t="e">
        <f>_xlfn.XLOOKUP(Pályák!A265,Mars!A:A,Mars!E:E)&amp;""&amp;_xlfn.XLOOKUP(Pályák!A265,Mars!A:A,Mars!F:F)</f>
        <v>#N/A</v>
      </c>
      <c r="F265" s="12" t="e">
        <f>_xlfn.XLOOKUP(Pályák!A265,Mars!A:A,Mars!E:E)&amp;""&amp;_xlfn.XLOOKUP(Pályák!A265,Mars!A:A,Mars!G:G)</f>
        <v>#N/A</v>
      </c>
      <c r="G265" s="12" t="e">
        <f>_xlfn.XLOOKUP(Pályák!A265,Mars!A:A,Mars!E:E)&amp;""&amp;_xlfn.XLOOKUP(Pályák!A265,Mars!A:A,Mars!H:H)</f>
        <v>#N/A</v>
      </c>
    </row>
    <row r="266" spans="1:7" x14ac:dyDescent="0.25">
      <c r="A266" s="3">
        <v>44825</v>
      </c>
      <c r="B266" s="12" t="e">
        <f>_xlfn.XLOOKUP(Pályák!A266,Mars!A:A,Mars!B:B)</f>
        <v>#N/A</v>
      </c>
      <c r="C266" s="12" t="e">
        <f>_xlfn.XLOOKUP(Pályák!A266,Mars!A:A,Mars!C:C)</f>
        <v>#N/A</v>
      </c>
      <c r="D266" s="12" t="e">
        <f>_xlfn.XLOOKUP(Pályák!A266,Mars!A:A,Mars!D:D)</f>
        <v>#N/A</v>
      </c>
      <c r="E266" s="12" t="e">
        <f>_xlfn.XLOOKUP(Pályák!A266,Mars!A:A,Mars!E:E)&amp;""&amp;_xlfn.XLOOKUP(Pályák!A266,Mars!A:A,Mars!F:F)</f>
        <v>#N/A</v>
      </c>
      <c r="F266" s="12" t="e">
        <f>_xlfn.XLOOKUP(Pályák!A266,Mars!A:A,Mars!E:E)&amp;""&amp;_xlfn.XLOOKUP(Pályák!A266,Mars!A:A,Mars!G:G)</f>
        <v>#N/A</v>
      </c>
      <c r="G266" s="12" t="e">
        <f>_xlfn.XLOOKUP(Pályák!A266,Mars!A:A,Mars!E:E)&amp;""&amp;_xlfn.XLOOKUP(Pályák!A266,Mars!A:A,Mars!H:H)</f>
        <v>#N/A</v>
      </c>
    </row>
    <row r="267" spans="1:7" x14ac:dyDescent="0.25">
      <c r="A267" s="3">
        <v>44826</v>
      </c>
      <c r="B267" s="12" t="e">
        <f>_xlfn.XLOOKUP(Pályák!A267,Mars!A:A,Mars!B:B)</f>
        <v>#N/A</v>
      </c>
      <c r="C267" s="12" t="e">
        <f>_xlfn.XLOOKUP(Pályák!A267,Mars!A:A,Mars!C:C)</f>
        <v>#N/A</v>
      </c>
      <c r="D267" s="12" t="e">
        <f>_xlfn.XLOOKUP(Pályák!A267,Mars!A:A,Mars!D:D)</f>
        <v>#N/A</v>
      </c>
      <c r="E267" s="12" t="e">
        <f>_xlfn.XLOOKUP(Pályák!A267,Mars!A:A,Mars!E:E)&amp;""&amp;_xlfn.XLOOKUP(Pályák!A267,Mars!A:A,Mars!F:F)</f>
        <v>#N/A</v>
      </c>
      <c r="F267" s="12" t="e">
        <f>_xlfn.XLOOKUP(Pályák!A267,Mars!A:A,Mars!E:E)&amp;""&amp;_xlfn.XLOOKUP(Pályák!A267,Mars!A:A,Mars!G:G)</f>
        <v>#N/A</v>
      </c>
      <c r="G267" s="12" t="e">
        <f>_xlfn.XLOOKUP(Pályák!A267,Mars!A:A,Mars!E:E)&amp;""&amp;_xlfn.XLOOKUP(Pályák!A267,Mars!A:A,Mars!H:H)</f>
        <v>#N/A</v>
      </c>
    </row>
    <row r="268" spans="1:7" x14ac:dyDescent="0.25">
      <c r="A268" s="3">
        <v>44827</v>
      </c>
      <c r="B268" s="12" t="e">
        <f>_xlfn.XLOOKUP(Pályák!A268,Mars!A:A,Mars!B:B)</f>
        <v>#N/A</v>
      </c>
      <c r="C268" s="12" t="e">
        <f>_xlfn.XLOOKUP(Pályák!A268,Mars!A:A,Mars!C:C)</f>
        <v>#N/A</v>
      </c>
      <c r="D268" s="12" t="e">
        <f>_xlfn.XLOOKUP(Pályák!A268,Mars!A:A,Mars!D:D)</f>
        <v>#N/A</v>
      </c>
      <c r="E268" s="12" t="e">
        <f>_xlfn.XLOOKUP(Pályák!A268,Mars!A:A,Mars!E:E)&amp;""&amp;_xlfn.XLOOKUP(Pályák!A268,Mars!A:A,Mars!F:F)</f>
        <v>#N/A</v>
      </c>
      <c r="F268" s="12" t="e">
        <f>_xlfn.XLOOKUP(Pályák!A268,Mars!A:A,Mars!E:E)&amp;""&amp;_xlfn.XLOOKUP(Pályák!A268,Mars!A:A,Mars!G:G)</f>
        <v>#N/A</v>
      </c>
      <c r="G268" s="12" t="e">
        <f>_xlfn.XLOOKUP(Pályák!A268,Mars!A:A,Mars!E:E)&amp;""&amp;_xlfn.XLOOKUP(Pályák!A268,Mars!A:A,Mars!H:H)</f>
        <v>#N/A</v>
      </c>
    </row>
    <row r="269" spans="1:7" x14ac:dyDescent="0.25">
      <c r="A269" s="3">
        <v>44828</v>
      </c>
      <c r="B269" s="12" t="e">
        <f>_xlfn.XLOOKUP(Pályák!A269,Mars!A:A,Mars!B:B)</f>
        <v>#N/A</v>
      </c>
      <c r="C269" s="12" t="e">
        <f>_xlfn.XLOOKUP(Pályák!A269,Mars!A:A,Mars!C:C)</f>
        <v>#N/A</v>
      </c>
      <c r="D269" s="12" t="e">
        <f>_xlfn.XLOOKUP(Pályák!A269,Mars!A:A,Mars!D:D)</f>
        <v>#N/A</v>
      </c>
      <c r="E269" s="12" t="e">
        <f>_xlfn.XLOOKUP(Pályák!A269,Mars!A:A,Mars!E:E)&amp;""&amp;_xlfn.XLOOKUP(Pályák!A269,Mars!A:A,Mars!F:F)</f>
        <v>#N/A</v>
      </c>
      <c r="F269" s="12" t="e">
        <f>_xlfn.XLOOKUP(Pályák!A269,Mars!A:A,Mars!E:E)&amp;""&amp;_xlfn.XLOOKUP(Pályák!A269,Mars!A:A,Mars!G:G)</f>
        <v>#N/A</v>
      </c>
      <c r="G269" s="12" t="e">
        <f>_xlfn.XLOOKUP(Pályák!A269,Mars!A:A,Mars!E:E)&amp;""&amp;_xlfn.XLOOKUP(Pályák!A269,Mars!A:A,Mars!H:H)</f>
        <v>#N/A</v>
      </c>
    </row>
    <row r="270" spans="1:7" x14ac:dyDescent="0.25">
      <c r="A270" s="3">
        <v>44829</v>
      </c>
      <c r="B270" s="12" t="e">
        <f>_xlfn.XLOOKUP(Pályák!A270,Mars!A:A,Mars!B:B)</f>
        <v>#N/A</v>
      </c>
      <c r="C270" s="12" t="e">
        <f>_xlfn.XLOOKUP(Pályák!A270,Mars!A:A,Mars!C:C)</f>
        <v>#N/A</v>
      </c>
      <c r="D270" s="12" t="e">
        <f>_xlfn.XLOOKUP(Pályák!A270,Mars!A:A,Mars!D:D)</f>
        <v>#N/A</v>
      </c>
      <c r="E270" s="12" t="e">
        <f>_xlfn.XLOOKUP(Pályák!A270,Mars!A:A,Mars!E:E)&amp;""&amp;_xlfn.XLOOKUP(Pályák!A270,Mars!A:A,Mars!F:F)</f>
        <v>#N/A</v>
      </c>
      <c r="F270" s="12" t="e">
        <f>_xlfn.XLOOKUP(Pályák!A270,Mars!A:A,Mars!E:E)&amp;""&amp;_xlfn.XLOOKUP(Pályák!A270,Mars!A:A,Mars!G:G)</f>
        <v>#N/A</v>
      </c>
      <c r="G270" s="12" t="e">
        <f>_xlfn.XLOOKUP(Pályák!A270,Mars!A:A,Mars!E:E)&amp;""&amp;_xlfn.XLOOKUP(Pályák!A270,Mars!A:A,Mars!H:H)</f>
        <v>#N/A</v>
      </c>
    </row>
    <row r="271" spans="1:7" x14ac:dyDescent="0.25">
      <c r="A271" s="3">
        <v>44830</v>
      </c>
      <c r="B271" s="12" t="e">
        <f>_xlfn.XLOOKUP(Pályák!A271,Mars!A:A,Mars!B:B)</f>
        <v>#N/A</v>
      </c>
      <c r="C271" s="12" t="e">
        <f>_xlfn.XLOOKUP(Pályák!A271,Mars!A:A,Mars!C:C)</f>
        <v>#N/A</v>
      </c>
      <c r="D271" s="12" t="e">
        <f>_xlfn.XLOOKUP(Pályák!A271,Mars!A:A,Mars!D:D)</f>
        <v>#N/A</v>
      </c>
      <c r="E271" s="12" t="e">
        <f>_xlfn.XLOOKUP(Pályák!A271,Mars!A:A,Mars!E:E)&amp;""&amp;_xlfn.XLOOKUP(Pályák!A271,Mars!A:A,Mars!F:F)</f>
        <v>#N/A</v>
      </c>
      <c r="F271" s="12" t="e">
        <f>_xlfn.XLOOKUP(Pályák!A271,Mars!A:A,Mars!E:E)&amp;""&amp;_xlfn.XLOOKUP(Pályák!A271,Mars!A:A,Mars!G:G)</f>
        <v>#N/A</v>
      </c>
      <c r="G271" s="12" t="e">
        <f>_xlfn.XLOOKUP(Pályák!A271,Mars!A:A,Mars!E:E)&amp;""&amp;_xlfn.XLOOKUP(Pályák!A271,Mars!A:A,Mars!H:H)</f>
        <v>#N/A</v>
      </c>
    </row>
    <row r="272" spans="1:7" x14ac:dyDescent="0.25">
      <c r="A272" s="3">
        <v>44831</v>
      </c>
      <c r="B272" s="12" t="e">
        <f>_xlfn.XLOOKUP(Pályák!A272,Mars!A:A,Mars!B:B)</f>
        <v>#N/A</v>
      </c>
      <c r="C272" s="12" t="e">
        <f>_xlfn.XLOOKUP(Pályák!A272,Mars!A:A,Mars!C:C)</f>
        <v>#N/A</v>
      </c>
      <c r="D272" s="12" t="e">
        <f>_xlfn.XLOOKUP(Pályák!A272,Mars!A:A,Mars!D:D)</f>
        <v>#N/A</v>
      </c>
      <c r="E272" s="12" t="e">
        <f>_xlfn.XLOOKUP(Pályák!A272,Mars!A:A,Mars!E:E)&amp;""&amp;_xlfn.XLOOKUP(Pályák!A272,Mars!A:A,Mars!F:F)</f>
        <v>#N/A</v>
      </c>
      <c r="F272" s="12" t="e">
        <f>_xlfn.XLOOKUP(Pályák!A272,Mars!A:A,Mars!E:E)&amp;""&amp;_xlfn.XLOOKUP(Pályák!A272,Mars!A:A,Mars!G:G)</f>
        <v>#N/A</v>
      </c>
      <c r="G272" s="12" t="e">
        <f>_xlfn.XLOOKUP(Pályák!A272,Mars!A:A,Mars!E:E)&amp;""&amp;_xlfn.XLOOKUP(Pályák!A272,Mars!A:A,Mars!H:H)</f>
        <v>#N/A</v>
      </c>
    </row>
    <row r="273" spans="1:7" x14ac:dyDescent="0.25">
      <c r="A273" s="3">
        <v>44832</v>
      </c>
      <c r="B273" s="12" t="e">
        <f>_xlfn.XLOOKUP(Pályák!A273,Mars!A:A,Mars!B:B)</f>
        <v>#N/A</v>
      </c>
      <c r="C273" s="12" t="e">
        <f>_xlfn.XLOOKUP(Pályák!A273,Mars!A:A,Mars!C:C)</f>
        <v>#N/A</v>
      </c>
      <c r="D273" s="12" t="e">
        <f>_xlfn.XLOOKUP(Pályák!A273,Mars!A:A,Mars!D:D)</f>
        <v>#N/A</v>
      </c>
      <c r="E273" s="12" t="e">
        <f>_xlfn.XLOOKUP(Pályák!A273,Mars!A:A,Mars!E:E)&amp;""&amp;_xlfn.XLOOKUP(Pályák!A273,Mars!A:A,Mars!F:F)</f>
        <v>#N/A</v>
      </c>
      <c r="F273" s="12" t="e">
        <f>_xlfn.XLOOKUP(Pályák!A273,Mars!A:A,Mars!E:E)&amp;""&amp;_xlfn.XLOOKUP(Pályák!A273,Mars!A:A,Mars!G:G)</f>
        <v>#N/A</v>
      </c>
      <c r="G273" s="12" t="e">
        <f>_xlfn.XLOOKUP(Pályák!A273,Mars!A:A,Mars!E:E)&amp;""&amp;_xlfn.XLOOKUP(Pályák!A273,Mars!A:A,Mars!H:H)</f>
        <v>#N/A</v>
      </c>
    </row>
    <row r="274" spans="1:7" x14ac:dyDescent="0.25">
      <c r="A274" s="3">
        <v>44833</v>
      </c>
      <c r="B274" s="12" t="e">
        <f>_xlfn.XLOOKUP(Pályák!A274,Mars!A:A,Mars!B:B)</f>
        <v>#N/A</v>
      </c>
      <c r="C274" s="12" t="e">
        <f>_xlfn.XLOOKUP(Pályák!A274,Mars!A:A,Mars!C:C)</f>
        <v>#N/A</v>
      </c>
      <c r="D274" s="12" t="e">
        <f>_xlfn.XLOOKUP(Pályák!A274,Mars!A:A,Mars!D:D)</f>
        <v>#N/A</v>
      </c>
      <c r="E274" s="12" t="e">
        <f>_xlfn.XLOOKUP(Pályák!A274,Mars!A:A,Mars!E:E)&amp;""&amp;_xlfn.XLOOKUP(Pályák!A274,Mars!A:A,Mars!F:F)</f>
        <v>#N/A</v>
      </c>
      <c r="F274" s="12" t="e">
        <f>_xlfn.XLOOKUP(Pályák!A274,Mars!A:A,Mars!E:E)&amp;""&amp;_xlfn.XLOOKUP(Pályák!A274,Mars!A:A,Mars!G:G)</f>
        <v>#N/A</v>
      </c>
      <c r="G274" s="12" t="e">
        <f>_xlfn.XLOOKUP(Pályák!A274,Mars!A:A,Mars!E:E)&amp;""&amp;_xlfn.XLOOKUP(Pályák!A274,Mars!A:A,Mars!H:H)</f>
        <v>#N/A</v>
      </c>
    </row>
    <row r="275" spans="1:7" x14ac:dyDescent="0.25">
      <c r="A275" s="3">
        <v>44834</v>
      </c>
      <c r="B275" s="12" t="e">
        <f>_xlfn.XLOOKUP(Pályák!A275,Mars!A:A,Mars!B:B)</f>
        <v>#N/A</v>
      </c>
      <c r="C275" s="12" t="e">
        <f>_xlfn.XLOOKUP(Pályák!A275,Mars!A:A,Mars!C:C)</f>
        <v>#N/A</v>
      </c>
      <c r="D275" s="12" t="e">
        <f>_xlfn.XLOOKUP(Pályák!A275,Mars!A:A,Mars!D:D)</f>
        <v>#N/A</v>
      </c>
      <c r="E275" s="12" t="e">
        <f>_xlfn.XLOOKUP(Pályák!A275,Mars!A:A,Mars!E:E)&amp;""&amp;_xlfn.XLOOKUP(Pályák!A275,Mars!A:A,Mars!F:F)</f>
        <v>#N/A</v>
      </c>
      <c r="F275" s="12" t="e">
        <f>_xlfn.XLOOKUP(Pályák!A275,Mars!A:A,Mars!E:E)&amp;""&amp;_xlfn.XLOOKUP(Pályák!A275,Mars!A:A,Mars!G:G)</f>
        <v>#N/A</v>
      </c>
      <c r="G275" s="12" t="e">
        <f>_xlfn.XLOOKUP(Pályák!A275,Mars!A:A,Mars!E:E)&amp;""&amp;_xlfn.XLOOKUP(Pályák!A275,Mars!A:A,Mars!H:H)</f>
        <v>#N/A</v>
      </c>
    </row>
    <row r="276" spans="1:7" x14ac:dyDescent="0.25">
      <c r="A276" s="3">
        <v>44835</v>
      </c>
      <c r="B276" s="12" t="e">
        <f>_xlfn.XLOOKUP(Pályák!A276,Mars!A:A,Mars!B:B)</f>
        <v>#N/A</v>
      </c>
      <c r="C276" s="12" t="e">
        <f>_xlfn.XLOOKUP(Pályák!A276,Mars!A:A,Mars!C:C)</f>
        <v>#N/A</v>
      </c>
      <c r="D276" s="12" t="e">
        <f>_xlfn.XLOOKUP(Pályák!A276,Mars!A:A,Mars!D:D)</f>
        <v>#N/A</v>
      </c>
      <c r="E276" s="12" t="e">
        <f>_xlfn.XLOOKUP(Pályák!A276,Mars!A:A,Mars!E:E)&amp;""&amp;_xlfn.XLOOKUP(Pályák!A276,Mars!A:A,Mars!F:F)</f>
        <v>#N/A</v>
      </c>
      <c r="F276" s="12" t="e">
        <f>_xlfn.XLOOKUP(Pályák!A276,Mars!A:A,Mars!E:E)&amp;""&amp;_xlfn.XLOOKUP(Pályák!A276,Mars!A:A,Mars!G:G)</f>
        <v>#N/A</v>
      </c>
      <c r="G276" s="12" t="e">
        <f>_xlfn.XLOOKUP(Pályák!A276,Mars!A:A,Mars!E:E)&amp;""&amp;_xlfn.XLOOKUP(Pályák!A276,Mars!A:A,Mars!H:H)</f>
        <v>#N/A</v>
      </c>
    </row>
    <row r="277" spans="1:7" x14ac:dyDescent="0.25">
      <c r="A277" s="3">
        <v>44836</v>
      </c>
      <c r="B277" s="12" t="e">
        <f>_xlfn.XLOOKUP(Pályák!A277,Mars!A:A,Mars!B:B)</f>
        <v>#N/A</v>
      </c>
      <c r="C277" s="12" t="e">
        <f>_xlfn.XLOOKUP(Pályák!A277,Mars!A:A,Mars!C:C)</f>
        <v>#N/A</v>
      </c>
      <c r="D277" s="12" t="e">
        <f>_xlfn.XLOOKUP(Pályák!A277,Mars!A:A,Mars!D:D)</f>
        <v>#N/A</v>
      </c>
      <c r="E277" s="12" t="e">
        <f>_xlfn.XLOOKUP(Pályák!A277,Mars!A:A,Mars!E:E)&amp;""&amp;_xlfn.XLOOKUP(Pályák!A277,Mars!A:A,Mars!F:F)</f>
        <v>#N/A</v>
      </c>
      <c r="F277" s="12" t="e">
        <f>_xlfn.XLOOKUP(Pályák!A277,Mars!A:A,Mars!E:E)&amp;""&amp;_xlfn.XLOOKUP(Pályák!A277,Mars!A:A,Mars!G:G)</f>
        <v>#N/A</v>
      </c>
      <c r="G277" s="12" t="e">
        <f>_xlfn.XLOOKUP(Pályák!A277,Mars!A:A,Mars!E:E)&amp;""&amp;_xlfn.XLOOKUP(Pályák!A277,Mars!A:A,Mars!H:H)</f>
        <v>#N/A</v>
      </c>
    </row>
    <row r="278" spans="1:7" x14ac:dyDescent="0.25">
      <c r="A278" s="3">
        <v>44837</v>
      </c>
      <c r="B278" s="12" t="e">
        <f>_xlfn.XLOOKUP(Pályák!A278,Mars!A:A,Mars!B:B)</f>
        <v>#N/A</v>
      </c>
      <c r="C278" s="12" t="e">
        <f>_xlfn.XLOOKUP(Pályák!A278,Mars!A:A,Mars!C:C)</f>
        <v>#N/A</v>
      </c>
      <c r="D278" s="12" t="e">
        <f>_xlfn.XLOOKUP(Pályák!A278,Mars!A:A,Mars!D:D)</f>
        <v>#N/A</v>
      </c>
      <c r="E278" s="12" t="e">
        <f>_xlfn.XLOOKUP(Pályák!A278,Mars!A:A,Mars!E:E)&amp;""&amp;_xlfn.XLOOKUP(Pályák!A278,Mars!A:A,Mars!F:F)</f>
        <v>#N/A</v>
      </c>
      <c r="F278" s="12" t="e">
        <f>_xlfn.XLOOKUP(Pályák!A278,Mars!A:A,Mars!E:E)&amp;""&amp;_xlfn.XLOOKUP(Pályák!A278,Mars!A:A,Mars!G:G)</f>
        <v>#N/A</v>
      </c>
      <c r="G278" s="12" t="e">
        <f>_xlfn.XLOOKUP(Pályák!A278,Mars!A:A,Mars!E:E)&amp;""&amp;_xlfn.XLOOKUP(Pályák!A278,Mars!A:A,Mars!H:H)</f>
        <v>#N/A</v>
      </c>
    </row>
    <row r="279" spans="1:7" x14ac:dyDescent="0.25">
      <c r="A279" s="3">
        <v>44838</v>
      </c>
      <c r="B279" s="12" t="e">
        <f>_xlfn.XLOOKUP(Pályák!A279,Mars!A:A,Mars!B:B)</f>
        <v>#N/A</v>
      </c>
      <c r="C279" s="12" t="e">
        <f>_xlfn.XLOOKUP(Pályák!A279,Mars!A:A,Mars!C:C)</f>
        <v>#N/A</v>
      </c>
      <c r="D279" s="12" t="e">
        <f>_xlfn.XLOOKUP(Pályák!A279,Mars!A:A,Mars!D:D)</f>
        <v>#N/A</v>
      </c>
      <c r="E279" s="12" t="e">
        <f>_xlfn.XLOOKUP(Pályák!A279,Mars!A:A,Mars!E:E)&amp;""&amp;_xlfn.XLOOKUP(Pályák!A279,Mars!A:A,Mars!F:F)</f>
        <v>#N/A</v>
      </c>
      <c r="F279" s="12" t="e">
        <f>_xlfn.XLOOKUP(Pályák!A279,Mars!A:A,Mars!E:E)&amp;""&amp;_xlfn.XLOOKUP(Pályák!A279,Mars!A:A,Mars!G:G)</f>
        <v>#N/A</v>
      </c>
      <c r="G279" s="12" t="e">
        <f>_xlfn.XLOOKUP(Pályák!A279,Mars!A:A,Mars!E:E)&amp;""&amp;_xlfn.XLOOKUP(Pályák!A279,Mars!A:A,Mars!H:H)</f>
        <v>#N/A</v>
      </c>
    </row>
    <row r="280" spans="1:7" x14ac:dyDescent="0.25">
      <c r="A280" s="3">
        <v>44839</v>
      </c>
      <c r="B280" s="12" t="e">
        <f>_xlfn.XLOOKUP(Pályák!A280,Mars!A:A,Mars!B:B)</f>
        <v>#N/A</v>
      </c>
      <c r="C280" s="12" t="e">
        <f>_xlfn.XLOOKUP(Pályák!A280,Mars!A:A,Mars!C:C)</f>
        <v>#N/A</v>
      </c>
      <c r="D280" s="12" t="e">
        <f>_xlfn.XLOOKUP(Pályák!A280,Mars!A:A,Mars!D:D)</f>
        <v>#N/A</v>
      </c>
      <c r="E280" s="12" t="e">
        <f>_xlfn.XLOOKUP(Pályák!A280,Mars!A:A,Mars!E:E)&amp;""&amp;_xlfn.XLOOKUP(Pályák!A280,Mars!A:A,Mars!F:F)</f>
        <v>#N/A</v>
      </c>
      <c r="F280" s="12" t="e">
        <f>_xlfn.XLOOKUP(Pályák!A280,Mars!A:A,Mars!E:E)&amp;""&amp;_xlfn.XLOOKUP(Pályák!A280,Mars!A:A,Mars!G:G)</f>
        <v>#N/A</v>
      </c>
      <c r="G280" s="12" t="e">
        <f>_xlfn.XLOOKUP(Pályák!A280,Mars!A:A,Mars!E:E)&amp;""&amp;_xlfn.XLOOKUP(Pályák!A280,Mars!A:A,Mars!H:H)</f>
        <v>#N/A</v>
      </c>
    </row>
    <row r="281" spans="1:7" x14ac:dyDescent="0.25">
      <c r="A281" s="3">
        <v>44840</v>
      </c>
      <c r="B281" s="12" t="e">
        <f>_xlfn.XLOOKUP(Pályák!A281,Mars!A:A,Mars!B:B)</f>
        <v>#N/A</v>
      </c>
      <c r="C281" s="12" t="e">
        <f>_xlfn.XLOOKUP(Pályák!A281,Mars!A:A,Mars!C:C)</f>
        <v>#N/A</v>
      </c>
      <c r="D281" s="12" t="e">
        <f>_xlfn.XLOOKUP(Pályák!A281,Mars!A:A,Mars!D:D)</f>
        <v>#N/A</v>
      </c>
      <c r="E281" s="12" t="e">
        <f>_xlfn.XLOOKUP(Pályák!A281,Mars!A:A,Mars!E:E)&amp;""&amp;_xlfn.XLOOKUP(Pályák!A281,Mars!A:A,Mars!F:F)</f>
        <v>#N/A</v>
      </c>
      <c r="F281" s="12" t="e">
        <f>_xlfn.XLOOKUP(Pályák!A281,Mars!A:A,Mars!E:E)&amp;""&amp;_xlfn.XLOOKUP(Pályák!A281,Mars!A:A,Mars!G:G)</f>
        <v>#N/A</v>
      </c>
      <c r="G281" s="12" t="e">
        <f>_xlfn.XLOOKUP(Pályák!A281,Mars!A:A,Mars!E:E)&amp;""&amp;_xlfn.XLOOKUP(Pályák!A281,Mars!A:A,Mars!H:H)</f>
        <v>#N/A</v>
      </c>
    </row>
    <row r="282" spans="1:7" x14ac:dyDescent="0.25">
      <c r="A282" s="3">
        <v>44841</v>
      </c>
      <c r="B282" s="12" t="e">
        <f>_xlfn.XLOOKUP(Pályák!A282,Mars!A:A,Mars!B:B)</f>
        <v>#N/A</v>
      </c>
      <c r="C282" s="12" t="e">
        <f>_xlfn.XLOOKUP(Pályák!A282,Mars!A:A,Mars!C:C)</f>
        <v>#N/A</v>
      </c>
      <c r="D282" s="12" t="e">
        <f>_xlfn.XLOOKUP(Pályák!A282,Mars!A:A,Mars!D:D)</f>
        <v>#N/A</v>
      </c>
      <c r="E282" s="12" t="e">
        <f>_xlfn.XLOOKUP(Pályák!A282,Mars!A:A,Mars!E:E)&amp;""&amp;_xlfn.XLOOKUP(Pályák!A282,Mars!A:A,Mars!F:F)</f>
        <v>#N/A</v>
      </c>
      <c r="F282" s="12" t="e">
        <f>_xlfn.XLOOKUP(Pályák!A282,Mars!A:A,Mars!E:E)&amp;""&amp;_xlfn.XLOOKUP(Pályák!A282,Mars!A:A,Mars!G:G)</f>
        <v>#N/A</v>
      </c>
      <c r="G282" s="12" t="e">
        <f>_xlfn.XLOOKUP(Pályák!A282,Mars!A:A,Mars!E:E)&amp;""&amp;_xlfn.XLOOKUP(Pályák!A282,Mars!A:A,Mars!H:H)</f>
        <v>#N/A</v>
      </c>
    </row>
    <row r="283" spans="1:7" x14ac:dyDescent="0.25">
      <c r="A283" s="3">
        <v>44842</v>
      </c>
      <c r="B283" s="12" t="e">
        <f>_xlfn.XLOOKUP(Pályák!A283,Mars!A:A,Mars!B:B)</f>
        <v>#N/A</v>
      </c>
      <c r="C283" s="12" t="e">
        <f>_xlfn.XLOOKUP(Pályák!A283,Mars!A:A,Mars!C:C)</f>
        <v>#N/A</v>
      </c>
      <c r="D283" s="12" t="e">
        <f>_xlfn.XLOOKUP(Pályák!A283,Mars!A:A,Mars!D:D)</f>
        <v>#N/A</v>
      </c>
      <c r="E283" s="12" t="e">
        <f>_xlfn.XLOOKUP(Pályák!A283,Mars!A:A,Mars!E:E)&amp;""&amp;_xlfn.XLOOKUP(Pályák!A283,Mars!A:A,Mars!F:F)</f>
        <v>#N/A</v>
      </c>
      <c r="F283" s="12" t="e">
        <f>_xlfn.XLOOKUP(Pályák!A283,Mars!A:A,Mars!E:E)&amp;""&amp;_xlfn.XLOOKUP(Pályák!A283,Mars!A:A,Mars!G:G)</f>
        <v>#N/A</v>
      </c>
      <c r="G283" s="12" t="e">
        <f>_xlfn.XLOOKUP(Pályák!A283,Mars!A:A,Mars!E:E)&amp;""&amp;_xlfn.XLOOKUP(Pályák!A283,Mars!A:A,Mars!H:H)</f>
        <v>#N/A</v>
      </c>
    </row>
    <row r="284" spans="1:7" x14ac:dyDescent="0.25">
      <c r="A284" s="3">
        <v>44843</v>
      </c>
      <c r="B284" s="12" t="e">
        <f>_xlfn.XLOOKUP(Pályák!A284,Mars!A:A,Mars!B:B)</f>
        <v>#N/A</v>
      </c>
      <c r="C284" s="12" t="e">
        <f>_xlfn.XLOOKUP(Pályák!A284,Mars!A:A,Mars!C:C)</f>
        <v>#N/A</v>
      </c>
      <c r="D284" s="12" t="e">
        <f>_xlfn.XLOOKUP(Pályák!A284,Mars!A:A,Mars!D:D)</f>
        <v>#N/A</v>
      </c>
      <c r="E284" s="12" t="e">
        <f>_xlfn.XLOOKUP(Pályák!A284,Mars!A:A,Mars!E:E)&amp;""&amp;_xlfn.XLOOKUP(Pályák!A284,Mars!A:A,Mars!F:F)</f>
        <v>#N/A</v>
      </c>
      <c r="F284" s="12" t="e">
        <f>_xlfn.XLOOKUP(Pályák!A284,Mars!A:A,Mars!E:E)&amp;""&amp;_xlfn.XLOOKUP(Pályák!A284,Mars!A:A,Mars!G:G)</f>
        <v>#N/A</v>
      </c>
      <c r="G284" s="12" t="e">
        <f>_xlfn.XLOOKUP(Pályák!A284,Mars!A:A,Mars!E:E)&amp;""&amp;_xlfn.XLOOKUP(Pályák!A284,Mars!A:A,Mars!H:H)</f>
        <v>#N/A</v>
      </c>
    </row>
    <row r="285" spans="1:7" x14ac:dyDescent="0.25">
      <c r="A285" s="3">
        <v>44844</v>
      </c>
      <c r="B285" s="12" t="e">
        <f>_xlfn.XLOOKUP(Pályák!A285,Mars!A:A,Mars!B:B)</f>
        <v>#N/A</v>
      </c>
      <c r="C285" s="12" t="e">
        <f>_xlfn.XLOOKUP(Pályák!A285,Mars!A:A,Mars!C:C)</f>
        <v>#N/A</v>
      </c>
      <c r="D285" s="12" t="e">
        <f>_xlfn.XLOOKUP(Pályák!A285,Mars!A:A,Mars!D:D)</f>
        <v>#N/A</v>
      </c>
      <c r="E285" s="12" t="e">
        <f>_xlfn.XLOOKUP(Pályák!A285,Mars!A:A,Mars!E:E)&amp;""&amp;_xlfn.XLOOKUP(Pályák!A285,Mars!A:A,Mars!F:F)</f>
        <v>#N/A</v>
      </c>
      <c r="F285" s="12" t="e">
        <f>_xlfn.XLOOKUP(Pályák!A285,Mars!A:A,Mars!E:E)&amp;""&amp;_xlfn.XLOOKUP(Pályák!A285,Mars!A:A,Mars!G:G)</f>
        <v>#N/A</v>
      </c>
      <c r="G285" s="12" t="e">
        <f>_xlfn.XLOOKUP(Pályák!A285,Mars!A:A,Mars!E:E)&amp;""&amp;_xlfn.XLOOKUP(Pályák!A285,Mars!A:A,Mars!H:H)</f>
        <v>#N/A</v>
      </c>
    </row>
    <row r="286" spans="1:7" x14ac:dyDescent="0.25">
      <c r="A286" s="3">
        <v>44845</v>
      </c>
      <c r="B286" s="12" t="e">
        <f>_xlfn.XLOOKUP(Pályák!A286,Mars!A:A,Mars!B:B)</f>
        <v>#N/A</v>
      </c>
      <c r="C286" s="12" t="e">
        <f>_xlfn.XLOOKUP(Pályák!A286,Mars!A:A,Mars!C:C)</f>
        <v>#N/A</v>
      </c>
      <c r="D286" s="12" t="e">
        <f>_xlfn.XLOOKUP(Pályák!A286,Mars!A:A,Mars!D:D)</f>
        <v>#N/A</v>
      </c>
      <c r="E286" s="12" t="e">
        <f>_xlfn.XLOOKUP(Pályák!A286,Mars!A:A,Mars!E:E)&amp;""&amp;_xlfn.XLOOKUP(Pályák!A286,Mars!A:A,Mars!F:F)</f>
        <v>#N/A</v>
      </c>
      <c r="F286" s="12" t="e">
        <f>_xlfn.XLOOKUP(Pályák!A286,Mars!A:A,Mars!E:E)&amp;""&amp;_xlfn.XLOOKUP(Pályák!A286,Mars!A:A,Mars!G:G)</f>
        <v>#N/A</v>
      </c>
      <c r="G286" s="12" t="e">
        <f>_xlfn.XLOOKUP(Pályák!A286,Mars!A:A,Mars!E:E)&amp;""&amp;_xlfn.XLOOKUP(Pályák!A286,Mars!A:A,Mars!H:H)</f>
        <v>#N/A</v>
      </c>
    </row>
    <row r="287" spans="1:7" x14ac:dyDescent="0.25">
      <c r="A287" s="3">
        <v>44846</v>
      </c>
      <c r="B287" s="12" t="e">
        <f>_xlfn.XLOOKUP(Pályák!A287,Mars!A:A,Mars!B:B)</f>
        <v>#N/A</v>
      </c>
      <c r="C287" s="12" t="e">
        <f>_xlfn.XLOOKUP(Pályák!A287,Mars!A:A,Mars!C:C)</f>
        <v>#N/A</v>
      </c>
      <c r="D287" s="12" t="e">
        <f>_xlfn.XLOOKUP(Pályák!A287,Mars!A:A,Mars!D:D)</f>
        <v>#N/A</v>
      </c>
      <c r="E287" s="12" t="e">
        <f>_xlfn.XLOOKUP(Pályák!A287,Mars!A:A,Mars!E:E)&amp;""&amp;_xlfn.XLOOKUP(Pályák!A287,Mars!A:A,Mars!F:F)</f>
        <v>#N/A</v>
      </c>
      <c r="F287" s="12" t="e">
        <f>_xlfn.XLOOKUP(Pályák!A287,Mars!A:A,Mars!E:E)&amp;""&amp;_xlfn.XLOOKUP(Pályák!A287,Mars!A:A,Mars!G:G)</f>
        <v>#N/A</v>
      </c>
      <c r="G287" s="12" t="e">
        <f>_xlfn.XLOOKUP(Pályák!A287,Mars!A:A,Mars!E:E)&amp;""&amp;_xlfn.XLOOKUP(Pályák!A287,Mars!A:A,Mars!H:H)</f>
        <v>#N/A</v>
      </c>
    </row>
    <row r="288" spans="1:7" x14ac:dyDescent="0.25">
      <c r="A288" s="3">
        <v>44847</v>
      </c>
      <c r="B288" s="12" t="e">
        <f>_xlfn.XLOOKUP(Pályák!A288,Mars!A:A,Mars!B:B)</f>
        <v>#N/A</v>
      </c>
      <c r="C288" s="12" t="e">
        <f>_xlfn.XLOOKUP(Pályák!A288,Mars!A:A,Mars!C:C)</f>
        <v>#N/A</v>
      </c>
      <c r="D288" s="12" t="e">
        <f>_xlfn.XLOOKUP(Pályák!A288,Mars!A:A,Mars!D:D)</f>
        <v>#N/A</v>
      </c>
      <c r="E288" s="12" t="e">
        <f>_xlfn.XLOOKUP(Pályák!A288,Mars!A:A,Mars!E:E)&amp;""&amp;_xlfn.XLOOKUP(Pályák!A288,Mars!A:A,Mars!F:F)</f>
        <v>#N/A</v>
      </c>
      <c r="F288" s="12" t="e">
        <f>_xlfn.XLOOKUP(Pályák!A288,Mars!A:A,Mars!E:E)&amp;""&amp;_xlfn.XLOOKUP(Pályák!A288,Mars!A:A,Mars!G:G)</f>
        <v>#N/A</v>
      </c>
      <c r="G288" s="12" t="e">
        <f>_xlfn.XLOOKUP(Pályák!A288,Mars!A:A,Mars!E:E)&amp;""&amp;_xlfn.XLOOKUP(Pályák!A288,Mars!A:A,Mars!H:H)</f>
        <v>#N/A</v>
      </c>
    </row>
    <row r="289" spans="1:7" x14ac:dyDescent="0.25">
      <c r="A289" s="3">
        <v>44848</v>
      </c>
      <c r="B289" s="12" t="e">
        <f>_xlfn.XLOOKUP(Pályák!A289,Mars!A:A,Mars!B:B)</f>
        <v>#N/A</v>
      </c>
      <c r="C289" s="12" t="e">
        <f>_xlfn.XLOOKUP(Pályák!A289,Mars!A:A,Mars!C:C)</f>
        <v>#N/A</v>
      </c>
      <c r="D289" s="12" t="e">
        <f>_xlfn.XLOOKUP(Pályák!A289,Mars!A:A,Mars!D:D)</f>
        <v>#N/A</v>
      </c>
      <c r="E289" s="12" t="e">
        <f>_xlfn.XLOOKUP(Pályák!A289,Mars!A:A,Mars!E:E)&amp;""&amp;_xlfn.XLOOKUP(Pályák!A289,Mars!A:A,Mars!F:F)</f>
        <v>#N/A</v>
      </c>
      <c r="F289" s="12" t="e">
        <f>_xlfn.XLOOKUP(Pályák!A289,Mars!A:A,Mars!E:E)&amp;""&amp;_xlfn.XLOOKUP(Pályák!A289,Mars!A:A,Mars!G:G)</f>
        <v>#N/A</v>
      </c>
      <c r="G289" s="12" t="e">
        <f>_xlfn.XLOOKUP(Pályák!A289,Mars!A:A,Mars!E:E)&amp;""&amp;_xlfn.XLOOKUP(Pályák!A289,Mars!A:A,Mars!H:H)</f>
        <v>#N/A</v>
      </c>
    </row>
    <row r="290" spans="1:7" x14ac:dyDescent="0.25">
      <c r="A290" s="3">
        <v>44849</v>
      </c>
      <c r="B290" s="12" t="e">
        <f>_xlfn.XLOOKUP(Pályák!A290,Mars!A:A,Mars!B:B)</f>
        <v>#N/A</v>
      </c>
      <c r="C290" s="12" t="e">
        <f>_xlfn.XLOOKUP(Pályák!A290,Mars!A:A,Mars!C:C)</f>
        <v>#N/A</v>
      </c>
      <c r="D290" s="12" t="e">
        <f>_xlfn.XLOOKUP(Pályák!A290,Mars!A:A,Mars!D:D)</f>
        <v>#N/A</v>
      </c>
      <c r="E290" s="12" t="e">
        <f>_xlfn.XLOOKUP(Pályák!A290,Mars!A:A,Mars!E:E)&amp;""&amp;_xlfn.XLOOKUP(Pályák!A290,Mars!A:A,Mars!F:F)</f>
        <v>#N/A</v>
      </c>
      <c r="F290" s="12" t="e">
        <f>_xlfn.XLOOKUP(Pályák!A290,Mars!A:A,Mars!E:E)&amp;""&amp;_xlfn.XLOOKUP(Pályák!A290,Mars!A:A,Mars!G:G)</f>
        <v>#N/A</v>
      </c>
      <c r="G290" s="12" t="e">
        <f>_xlfn.XLOOKUP(Pályák!A290,Mars!A:A,Mars!E:E)&amp;""&amp;_xlfn.XLOOKUP(Pályák!A290,Mars!A:A,Mars!H:H)</f>
        <v>#N/A</v>
      </c>
    </row>
    <row r="291" spans="1:7" x14ac:dyDescent="0.25">
      <c r="A291" s="3">
        <v>44850</v>
      </c>
      <c r="B291" s="12" t="e">
        <f>_xlfn.XLOOKUP(Pályák!A291,Mars!A:A,Mars!B:B)</f>
        <v>#N/A</v>
      </c>
      <c r="C291" s="12" t="e">
        <f>_xlfn.XLOOKUP(Pályák!A291,Mars!A:A,Mars!C:C)</f>
        <v>#N/A</v>
      </c>
      <c r="D291" s="12" t="e">
        <f>_xlfn.XLOOKUP(Pályák!A291,Mars!A:A,Mars!D:D)</f>
        <v>#N/A</v>
      </c>
      <c r="E291" s="12" t="e">
        <f>_xlfn.XLOOKUP(Pályák!A291,Mars!A:A,Mars!E:E)&amp;""&amp;_xlfn.XLOOKUP(Pályák!A291,Mars!A:A,Mars!F:F)</f>
        <v>#N/A</v>
      </c>
      <c r="F291" s="12" t="e">
        <f>_xlfn.XLOOKUP(Pályák!A291,Mars!A:A,Mars!E:E)&amp;""&amp;_xlfn.XLOOKUP(Pályák!A291,Mars!A:A,Mars!G:G)</f>
        <v>#N/A</v>
      </c>
      <c r="G291" s="12" t="e">
        <f>_xlfn.XLOOKUP(Pályák!A291,Mars!A:A,Mars!E:E)&amp;""&amp;_xlfn.XLOOKUP(Pályák!A291,Mars!A:A,Mars!H:H)</f>
        <v>#N/A</v>
      </c>
    </row>
    <row r="292" spans="1:7" x14ac:dyDescent="0.25">
      <c r="A292" s="3">
        <v>44851</v>
      </c>
      <c r="B292" s="12" t="e">
        <f>_xlfn.XLOOKUP(Pályák!A292,Mars!A:A,Mars!B:B)</f>
        <v>#N/A</v>
      </c>
      <c r="C292" s="12" t="e">
        <f>_xlfn.XLOOKUP(Pályák!A292,Mars!A:A,Mars!C:C)</f>
        <v>#N/A</v>
      </c>
      <c r="D292" s="12" t="e">
        <f>_xlfn.XLOOKUP(Pályák!A292,Mars!A:A,Mars!D:D)</f>
        <v>#N/A</v>
      </c>
      <c r="E292" s="12" t="e">
        <f>_xlfn.XLOOKUP(Pályák!A292,Mars!A:A,Mars!E:E)&amp;""&amp;_xlfn.XLOOKUP(Pályák!A292,Mars!A:A,Mars!F:F)</f>
        <v>#N/A</v>
      </c>
      <c r="F292" s="12" t="e">
        <f>_xlfn.XLOOKUP(Pályák!A292,Mars!A:A,Mars!E:E)&amp;""&amp;_xlfn.XLOOKUP(Pályák!A292,Mars!A:A,Mars!G:G)</f>
        <v>#N/A</v>
      </c>
      <c r="G292" s="12" t="e">
        <f>_xlfn.XLOOKUP(Pályák!A292,Mars!A:A,Mars!E:E)&amp;""&amp;_xlfn.XLOOKUP(Pályák!A292,Mars!A:A,Mars!H:H)</f>
        <v>#N/A</v>
      </c>
    </row>
    <row r="293" spans="1:7" x14ac:dyDescent="0.25">
      <c r="A293" s="3">
        <v>44852</v>
      </c>
      <c r="B293" s="12" t="e">
        <f>_xlfn.XLOOKUP(Pályák!A293,Mars!A:A,Mars!B:B)</f>
        <v>#N/A</v>
      </c>
      <c r="C293" s="12" t="e">
        <f>_xlfn.XLOOKUP(Pályák!A293,Mars!A:A,Mars!C:C)</f>
        <v>#N/A</v>
      </c>
      <c r="D293" s="12" t="e">
        <f>_xlfn.XLOOKUP(Pályák!A293,Mars!A:A,Mars!D:D)</f>
        <v>#N/A</v>
      </c>
      <c r="E293" s="12" t="e">
        <f>_xlfn.XLOOKUP(Pályák!A293,Mars!A:A,Mars!E:E)&amp;""&amp;_xlfn.XLOOKUP(Pályák!A293,Mars!A:A,Mars!F:F)</f>
        <v>#N/A</v>
      </c>
      <c r="F293" s="12" t="e">
        <f>_xlfn.XLOOKUP(Pályák!A293,Mars!A:A,Mars!E:E)&amp;""&amp;_xlfn.XLOOKUP(Pályák!A293,Mars!A:A,Mars!G:G)</f>
        <v>#N/A</v>
      </c>
      <c r="G293" s="12" t="e">
        <f>_xlfn.XLOOKUP(Pályák!A293,Mars!A:A,Mars!E:E)&amp;""&amp;_xlfn.XLOOKUP(Pályák!A293,Mars!A:A,Mars!H:H)</f>
        <v>#N/A</v>
      </c>
    </row>
    <row r="294" spans="1:7" x14ac:dyDescent="0.25">
      <c r="A294" s="3">
        <v>44853</v>
      </c>
      <c r="B294" s="12" t="e">
        <f>_xlfn.XLOOKUP(Pályák!A294,Mars!A:A,Mars!B:B)</f>
        <v>#N/A</v>
      </c>
      <c r="C294" s="12" t="e">
        <f>_xlfn.XLOOKUP(Pályák!A294,Mars!A:A,Mars!C:C)</f>
        <v>#N/A</v>
      </c>
      <c r="D294" s="12" t="e">
        <f>_xlfn.XLOOKUP(Pályák!A294,Mars!A:A,Mars!D:D)</f>
        <v>#N/A</v>
      </c>
      <c r="E294" s="12" t="e">
        <f>_xlfn.XLOOKUP(Pályák!A294,Mars!A:A,Mars!E:E)&amp;""&amp;_xlfn.XLOOKUP(Pályák!A294,Mars!A:A,Mars!F:F)</f>
        <v>#N/A</v>
      </c>
      <c r="F294" s="12" t="e">
        <f>_xlfn.XLOOKUP(Pályák!A294,Mars!A:A,Mars!E:E)&amp;""&amp;_xlfn.XLOOKUP(Pályák!A294,Mars!A:A,Mars!G:G)</f>
        <v>#N/A</v>
      </c>
      <c r="G294" s="12" t="e">
        <f>_xlfn.XLOOKUP(Pályák!A294,Mars!A:A,Mars!E:E)&amp;""&amp;_xlfn.XLOOKUP(Pályák!A294,Mars!A:A,Mars!H:H)</f>
        <v>#N/A</v>
      </c>
    </row>
    <row r="295" spans="1:7" x14ac:dyDescent="0.25">
      <c r="A295" s="3">
        <v>44854</v>
      </c>
      <c r="B295" s="12" t="e">
        <f>_xlfn.XLOOKUP(Pályák!A295,Mars!A:A,Mars!B:B)</f>
        <v>#N/A</v>
      </c>
      <c r="C295" s="12" t="e">
        <f>_xlfn.XLOOKUP(Pályák!A295,Mars!A:A,Mars!C:C)</f>
        <v>#N/A</v>
      </c>
      <c r="D295" s="12" t="e">
        <f>_xlfn.XLOOKUP(Pályák!A295,Mars!A:A,Mars!D:D)</f>
        <v>#N/A</v>
      </c>
      <c r="E295" s="12" t="e">
        <f>_xlfn.XLOOKUP(Pályák!A295,Mars!A:A,Mars!E:E)&amp;""&amp;_xlfn.XLOOKUP(Pályák!A295,Mars!A:A,Mars!F:F)</f>
        <v>#N/A</v>
      </c>
      <c r="F295" s="12" t="e">
        <f>_xlfn.XLOOKUP(Pályák!A295,Mars!A:A,Mars!E:E)&amp;""&amp;_xlfn.XLOOKUP(Pályák!A295,Mars!A:A,Mars!G:G)</f>
        <v>#N/A</v>
      </c>
      <c r="G295" s="12" t="e">
        <f>_xlfn.XLOOKUP(Pályák!A295,Mars!A:A,Mars!E:E)&amp;""&amp;_xlfn.XLOOKUP(Pályák!A295,Mars!A:A,Mars!H:H)</f>
        <v>#N/A</v>
      </c>
    </row>
    <row r="296" spans="1:7" x14ac:dyDescent="0.25">
      <c r="A296" s="3">
        <v>44855</v>
      </c>
      <c r="B296" s="12" t="e">
        <f>_xlfn.XLOOKUP(Pályák!A296,Mars!A:A,Mars!B:B)</f>
        <v>#N/A</v>
      </c>
      <c r="C296" s="12" t="e">
        <f>_xlfn.XLOOKUP(Pályák!A296,Mars!A:A,Mars!C:C)</f>
        <v>#N/A</v>
      </c>
      <c r="D296" s="12" t="e">
        <f>_xlfn.XLOOKUP(Pályák!A296,Mars!A:A,Mars!D:D)</f>
        <v>#N/A</v>
      </c>
      <c r="E296" s="12" t="e">
        <f>_xlfn.XLOOKUP(Pályák!A296,Mars!A:A,Mars!E:E)&amp;""&amp;_xlfn.XLOOKUP(Pályák!A296,Mars!A:A,Mars!F:F)</f>
        <v>#N/A</v>
      </c>
      <c r="F296" s="12" t="e">
        <f>_xlfn.XLOOKUP(Pályák!A296,Mars!A:A,Mars!E:E)&amp;""&amp;_xlfn.XLOOKUP(Pályák!A296,Mars!A:A,Mars!G:G)</f>
        <v>#N/A</v>
      </c>
      <c r="G296" s="12" t="e">
        <f>_xlfn.XLOOKUP(Pályák!A296,Mars!A:A,Mars!E:E)&amp;""&amp;_xlfn.XLOOKUP(Pályák!A296,Mars!A:A,Mars!H:H)</f>
        <v>#N/A</v>
      </c>
    </row>
    <row r="297" spans="1:7" x14ac:dyDescent="0.25">
      <c r="A297" s="3">
        <v>44856</v>
      </c>
      <c r="B297" s="12" t="e">
        <f>_xlfn.XLOOKUP(Pályák!A297,Mars!A:A,Mars!B:B)</f>
        <v>#N/A</v>
      </c>
      <c r="C297" s="12" t="e">
        <f>_xlfn.XLOOKUP(Pályák!A297,Mars!A:A,Mars!C:C)</f>
        <v>#N/A</v>
      </c>
      <c r="D297" s="12" t="e">
        <f>_xlfn.XLOOKUP(Pályák!A297,Mars!A:A,Mars!D:D)</f>
        <v>#N/A</v>
      </c>
      <c r="E297" s="12" t="e">
        <f>_xlfn.XLOOKUP(Pályák!A297,Mars!A:A,Mars!E:E)&amp;""&amp;_xlfn.XLOOKUP(Pályák!A297,Mars!A:A,Mars!F:F)</f>
        <v>#N/A</v>
      </c>
      <c r="F297" s="12" t="e">
        <f>_xlfn.XLOOKUP(Pályák!A297,Mars!A:A,Mars!E:E)&amp;""&amp;_xlfn.XLOOKUP(Pályák!A297,Mars!A:A,Mars!G:G)</f>
        <v>#N/A</v>
      </c>
      <c r="G297" s="12" t="e">
        <f>_xlfn.XLOOKUP(Pályák!A297,Mars!A:A,Mars!E:E)&amp;""&amp;_xlfn.XLOOKUP(Pályák!A297,Mars!A:A,Mars!H:H)</f>
        <v>#N/A</v>
      </c>
    </row>
    <row r="298" spans="1:7" x14ac:dyDescent="0.25">
      <c r="A298" s="3">
        <v>44857</v>
      </c>
      <c r="B298" s="12" t="e">
        <f>_xlfn.XLOOKUP(Pályák!A298,Mars!A:A,Mars!B:B)</f>
        <v>#N/A</v>
      </c>
      <c r="C298" s="12" t="e">
        <f>_xlfn.XLOOKUP(Pályák!A298,Mars!A:A,Mars!C:C)</f>
        <v>#N/A</v>
      </c>
      <c r="D298" s="12" t="e">
        <f>_xlfn.XLOOKUP(Pályák!A298,Mars!A:A,Mars!D:D)</f>
        <v>#N/A</v>
      </c>
      <c r="E298" s="12" t="e">
        <f>_xlfn.XLOOKUP(Pályák!A298,Mars!A:A,Mars!E:E)&amp;""&amp;_xlfn.XLOOKUP(Pályák!A298,Mars!A:A,Mars!F:F)</f>
        <v>#N/A</v>
      </c>
      <c r="F298" s="12" t="e">
        <f>_xlfn.XLOOKUP(Pályák!A298,Mars!A:A,Mars!E:E)&amp;""&amp;_xlfn.XLOOKUP(Pályák!A298,Mars!A:A,Mars!G:G)</f>
        <v>#N/A</v>
      </c>
      <c r="G298" s="12" t="e">
        <f>_xlfn.XLOOKUP(Pályák!A298,Mars!A:A,Mars!E:E)&amp;""&amp;_xlfn.XLOOKUP(Pályák!A298,Mars!A:A,Mars!H:H)</f>
        <v>#N/A</v>
      </c>
    </row>
    <row r="299" spans="1:7" x14ac:dyDescent="0.25">
      <c r="A299" s="3">
        <v>44858</v>
      </c>
      <c r="B299" s="12" t="e">
        <f>_xlfn.XLOOKUP(Pályák!A299,Mars!A:A,Mars!B:B)</f>
        <v>#N/A</v>
      </c>
      <c r="C299" s="12" t="e">
        <f>_xlfn.XLOOKUP(Pályák!A299,Mars!A:A,Mars!C:C)</f>
        <v>#N/A</v>
      </c>
      <c r="D299" s="12" t="e">
        <f>_xlfn.XLOOKUP(Pályák!A299,Mars!A:A,Mars!D:D)</f>
        <v>#N/A</v>
      </c>
      <c r="E299" s="12" t="e">
        <f>_xlfn.XLOOKUP(Pályák!A299,Mars!A:A,Mars!E:E)&amp;""&amp;_xlfn.XLOOKUP(Pályák!A299,Mars!A:A,Mars!F:F)</f>
        <v>#N/A</v>
      </c>
      <c r="F299" s="12" t="e">
        <f>_xlfn.XLOOKUP(Pályák!A299,Mars!A:A,Mars!E:E)&amp;""&amp;_xlfn.XLOOKUP(Pályák!A299,Mars!A:A,Mars!G:G)</f>
        <v>#N/A</v>
      </c>
      <c r="G299" s="12" t="e">
        <f>_xlfn.XLOOKUP(Pályák!A299,Mars!A:A,Mars!E:E)&amp;""&amp;_xlfn.XLOOKUP(Pályák!A299,Mars!A:A,Mars!H:H)</f>
        <v>#N/A</v>
      </c>
    </row>
    <row r="300" spans="1:7" x14ac:dyDescent="0.25">
      <c r="A300" s="3">
        <v>44859</v>
      </c>
      <c r="B300" s="12" t="e">
        <f>_xlfn.XLOOKUP(Pályák!A300,Mars!A:A,Mars!B:B)</f>
        <v>#N/A</v>
      </c>
      <c r="C300" s="12" t="e">
        <f>_xlfn.XLOOKUP(Pályák!A300,Mars!A:A,Mars!C:C)</f>
        <v>#N/A</v>
      </c>
      <c r="D300" s="12" t="e">
        <f>_xlfn.XLOOKUP(Pályák!A300,Mars!A:A,Mars!D:D)</f>
        <v>#N/A</v>
      </c>
      <c r="E300" s="12" t="e">
        <f>_xlfn.XLOOKUP(Pályák!A300,Mars!A:A,Mars!E:E)&amp;""&amp;_xlfn.XLOOKUP(Pályák!A300,Mars!A:A,Mars!F:F)</f>
        <v>#N/A</v>
      </c>
      <c r="F300" s="12" t="e">
        <f>_xlfn.XLOOKUP(Pályák!A300,Mars!A:A,Mars!E:E)&amp;""&amp;_xlfn.XLOOKUP(Pályák!A300,Mars!A:A,Mars!G:G)</f>
        <v>#N/A</v>
      </c>
      <c r="G300" s="12" t="e">
        <f>_xlfn.XLOOKUP(Pályák!A300,Mars!A:A,Mars!E:E)&amp;""&amp;_xlfn.XLOOKUP(Pályák!A300,Mars!A:A,Mars!H:H)</f>
        <v>#N/A</v>
      </c>
    </row>
    <row r="301" spans="1:7" x14ac:dyDescent="0.25">
      <c r="A301" s="3">
        <v>44860</v>
      </c>
      <c r="B301" s="12" t="e">
        <f>_xlfn.XLOOKUP(Pályák!A301,Mars!A:A,Mars!B:B)</f>
        <v>#N/A</v>
      </c>
      <c r="C301" s="12" t="e">
        <f>_xlfn.XLOOKUP(Pályák!A301,Mars!A:A,Mars!C:C)</f>
        <v>#N/A</v>
      </c>
      <c r="D301" s="12" t="e">
        <f>_xlfn.XLOOKUP(Pályák!A301,Mars!A:A,Mars!D:D)</f>
        <v>#N/A</v>
      </c>
      <c r="E301" s="12" t="e">
        <f>_xlfn.XLOOKUP(Pályák!A301,Mars!A:A,Mars!E:E)&amp;""&amp;_xlfn.XLOOKUP(Pályák!A301,Mars!A:A,Mars!F:F)</f>
        <v>#N/A</v>
      </c>
      <c r="F301" s="12" t="e">
        <f>_xlfn.XLOOKUP(Pályák!A301,Mars!A:A,Mars!E:E)&amp;""&amp;_xlfn.XLOOKUP(Pályák!A301,Mars!A:A,Mars!G:G)</f>
        <v>#N/A</v>
      </c>
      <c r="G301" s="12" t="e">
        <f>_xlfn.XLOOKUP(Pályák!A301,Mars!A:A,Mars!E:E)&amp;""&amp;_xlfn.XLOOKUP(Pályák!A301,Mars!A:A,Mars!H:H)</f>
        <v>#N/A</v>
      </c>
    </row>
    <row r="302" spans="1:7" x14ac:dyDescent="0.25">
      <c r="A302" s="3">
        <v>44861</v>
      </c>
      <c r="B302" s="12" t="e">
        <f>_xlfn.XLOOKUP(Pályák!A302,Mars!A:A,Mars!B:B)</f>
        <v>#N/A</v>
      </c>
      <c r="C302" s="12" t="e">
        <f>_xlfn.XLOOKUP(Pályák!A302,Mars!A:A,Mars!C:C)</f>
        <v>#N/A</v>
      </c>
      <c r="D302" s="12" t="e">
        <f>_xlfn.XLOOKUP(Pályák!A302,Mars!A:A,Mars!D:D)</f>
        <v>#N/A</v>
      </c>
      <c r="E302" s="12" t="e">
        <f>_xlfn.XLOOKUP(Pályák!A302,Mars!A:A,Mars!E:E)&amp;""&amp;_xlfn.XLOOKUP(Pályák!A302,Mars!A:A,Mars!F:F)</f>
        <v>#N/A</v>
      </c>
      <c r="F302" s="12" t="e">
        <f>_xlfn.XLOOKUP(Pályák!A302,Mars!A:A,Mars!E:E)&amp;""&amp;_xlfn.XLOOKUP(Pályák!A302,Mars!A:A,Mars!G:G)</f>
        <v>#N/A</v>
      </c>
      <c r="G302" s="12" t="e">
        <f>_xlfn.XLOOKUP(Pályák!A302,Mars!A:A,Mars!E:E)&amp;""&amp;_xlfn.XLOOKUP(Pályák!A302,Mars!A:A,Mars!H:H)</f>
        <v>#N/A</v>
      </c>
    </row>
    <row r="303" spans="1:7" x14ac:dyDescent="0.25">
      <c r="A303" s="3">
        <v>44862</v>
      </c>
      <c r="B303" s="12" t="e">
        <f>_xlfn.XLOOKUP(Pályák!A303,Mars!A:A,Mars!B:B)</f>
        <v>#N/A</v>
      </c>
      <c r="C303" s="12" t="e">
        <f>_xlfn.XLOOKUP(Pályák!A303,Mars!A:A,Mars!C:C)</f>
        <v>#N/A</v>
      </c>
      <c r="D303" s="12" t="e">
        <f>_xlfn.XLOOKUP(Pályák!A303,Mars!A:A,Mars!D:D)</f>
        <v>#N/A</v>
      </c>
      <c r="E303" s="12" t="e">
        <f>_xlfn.XLOOKUP(Pályák!A303,Mars!A:A,Mars!E:E)&amp;""&amp;_xlfn.XLOOKUP(Pályák!A303,Mars!A:A,Mars!F:F)</f>
        <v>#N/A</v>
      </c>
      <c r="F303" s="12" t="e">
        <f>_xlfn.XLOOKUP(Pályák!A303,Mars!A:A,Mars!E:E)&amp;""&amp;_xlfn.XLOOKUP(Pályák!A303,Mars!A:A,Mars!G:G)</f>
        <v>#N/A</v>
      </c>
      <c r="G303" s="12" t="e">
        <f>_xlfn.XLOOKUP(Pályák!A303,Mars!A:A,Mars!E:E)&amp;""&amp;_xlfn.XLOOKUP(Pályák!A303,Mars!A:A,Mars!H:H)</f>
        <v>#N/A</v>
      </c>
    </row>
    <row r="304" spans="1:7" x14ac:dyDescent="0.25">
      <c r="A304" s="3">
        <v>44863</v>
      </c>
      <c r="B304" s="12" t="e">
        <f>_xlfn.XLOOKUP(Pályák!A304,Mars!A:A,Mars!B:B)</f>
        <v>#N/A</v>
      </c>
      <c r="C304" s="12" t="e">
        <f>_xlfn.XLOOKUP(Pályák!A304,Mars!A:A,Mars!C:C)</f>
        <v>#N/A</v>
      </c>
      <c r="D304" s="12" t="e">
        <f>_xlfn.XLOOKUP(Pályák!A304,Mars!A:A,Mars!D:D)</f>
        <v>#N/A</v>
      </c>
      <c r="E304" s="12" t="e">
        <f>_xlfn.XLOOKUP(Pályák!A304,Mars!A:A,Mars!E:E)&amp;""&amp;_xlfn.XLOOKUP(Pályák!A304,Mars!A:A,Mars!F:F)</f>
        <v>#N/A</v>
      </c>
      <c r="F304" s="12" t="e">
        <f>_xlfn.XLOOKUP(Pályák!A304,Mars!A:A,Mars!E:E)&amp;""&amp;_xlfn.XLOOKUP(Pályák!A304,Mars!A:A,Mars!G:G)</f>
        <v>#N/A</v>
      </c>
      <c r="G304" s="12" t="e">
        <f>_xlfn.XLOOKUP(Pályák!A304,Mars!A:A,Mars!E:E)&amp;""&amp;_xlfn.XLOOKUP(Pályák!A304,Mars!A:A,Mars!H:H)</f>
        <v>#N/A</v>
      </c>
    </row>
    <row r="305" spans="1:7" x14ac:dyDescent="0.25">
      <c r="A305" s="3">
        <v>44864</v>
      </c>
      <c r="B305" s="12" t="e">
        <f>_xlfn.XLOOKUP(Pályák!A305,Mars!A:A,Mars!B:B)</f>
        <v>#N/A</v>
      </c>
      <c r="C305" s="12" t="e">
        <f>_xlfn.XLOOKUP(Pályák!A305,Mars!A:A,Mars!C:C)</f>
        <v>#N/A</v>
      </c>
      <c r="D305" s="12" t="e">
        <f>_xlfn.XLOOKUP(Pályák!A305,Mars!A:A,Mars!D:D)</f>
        <v>#N/A</v>
      </c>
      <c r="E305" s="12" t="e">
        <f>_xlfn.XLOOKUP(Pályák!A305,Mars!A:A,Mars!E:E)&amp;""&amp;_xlfn.XLOOKUP(Pályák!A305,Mars!A:A,Mars!F:F)</f>
        <v>#N/A</v>
      </c>
      <c r="F305" s="12" t="e">
        <f>_xlfn.XLOOKUP(Pályák!A305,Mars!A:A,Mars!E:E)&amp;""&amp;_xlfn.XLOOKUP(Pályák!A305,Mars!A:A,Mars!G:G)</f>
        <v>#N/A</v>
      </c>
      <c r="G305" s="12" t="e">
        <f>_xlfn.XLOOKUP(Pályák!A305,Mars!A:A,Mars!E:E)&amp;""&amp;_xlfn.XLOOKUP(Pályák!A305,Mars!A:A,Mars!H:H)</f>
        <v>#N/A</v>
      </c>
    </row>
    <row r="306" spans="1:7" x14ac:dyDescent="0.25">
      <c r="A306" s="3">
        <v>44865</v>
      </c>
      <c r="B306" s="12" t="e">
        <f>_xlfn.XLOOKUP(Pályák!A306,Mars!A:A,Mars!B:B)</f>
        <v>#N/A</v>
      </c>
      <c r="C306" s="12" t="e">
        <f>_xlfn.XLOOKUP(Pályák!A306,Mars!A:A,Mars!C:C)</f>
        <v>#N/A</v>
      </c>
      <c r="D306" s="12" t="e">
        <f>_xlfn.XLOOKUP(Pályák!A306,Mars!A:A,Mars!D:D)</f>
        <v>#N/A</v>
      </c>
      <c r="E306" s="12" t="e">
        <f>_xlfn.XLOOKUP(Pályák!A306,Mars!A:A,Mars!E:E)&amp;""&amp;_xlfn.XLOOKUP(Pályák!A306,Mars!A:A,Mars!F:F)</f>
        <v>#N/A</v>
      </c>
      <c r="F306" s="12" t="e">
        <f>_xlfn.XLOOKUP(Pályák!A306,Mars!A:A,Mars!E:E)&amp;""&amp;_xlfn.XLOOKUP(Pályák!A306,Mars!A:A,Mars!G:G)</f>
        <v>#N/A</v>
      </c>
      <c r="G306" s="12" t="e">
        <f>_xlfn.XLOOKUP(Pályák!A306,Mars!A:A,Mars!E:E)&amp;""&amp;_xlfn.XLOOKUP(Pályák!A306,Mars!A:A,Mars!H:H)</f>
        <v>#N/A</v>
      </c>
    </row>
    <row r="307" spans="1:7" x14ac:dyDescent="0.25">
      <c r="A307" s="3">
        <v>44866</v>
      </c>
      <c r="B307" s="12">
        <f>_xlfn.XLOOKUP(Pályák!A307,Mars!A:A,Mars!B:B)</f>
        <v>5</v>
      </c>
      <c r="C307" s="12">
        <f>_xlfn.XLOOKUP(Pályák!A307,Mars!A:A,Mars!C:C)</f>
        <v>39</v>
      </c>
      <c r="D307" s="12">
        <f>_xlfn.XLOOKUP(Pályák!A307,Mars!A:A,Mars!D:D)</f>
        <v>21.01</v>
      </c>
      <c r="E307" s="12" t="str">
        <f>_xlfn.XLOOKUP(Pályák!A307,Mars!A:A,Mars!E:E)&amp;""&amp;_xlfn.XLOOKUP(Pályák!A307,Mars!A:A,Mars!F:F)</f>
        <v>+23</v>
      </c>
      <c r="F307" s="12" t="str">
        <f>_xlfn.XLOOKUP(Pályák!A307,Mars!A:A,Mars!E:E)&amp;""&amp;_xlfn.XLOOKUP(Pályák!A307,Mars!A:A,Mars!G:G)</f>
        <v>+51</v>
      </c>
      <c r="G307" s="12" t="str">
        <f>_xlfn.XLOOKUP(Pályák!A307,Mars!A:A,Mars!E:E)&amp;""&amp;_xlfn.XLOOKUP(Pályák!A307,Mars!A:A,Mars!H:H)</f>
        <v>+39</v>
      </c>
    </row>
    <row r="308" spans="1:7" x14ac:dyDescent="0.25">
      <c r="A308" s="3">
        <v>44867</v>
      </c>
      <c r="B308" s="12">
        <f>_xlfn.XLOOKUP(Pályák!A308,Mars!A:A,Mars!B:B)</f>
        <v>5</v>
      </c>
      <c r="C308" s="12">
        <f>_xlfn.XLOOKUP(Pályák!A308,Mars!A:A,Mars!C:C)</f>
        <v>39</v>
      </c>
      <c r="D308" s="12">
        <f>_xlfn.XLOOKUP(Pályák!A308,Mars!A:A,Mars!D:D)</f>
        <v>13.19</v>
      </c>
      <c r="E308" s="12" t="str">
        <f>_xlfn.XLOOKUP(Pályák!A308,Mars!A:A,Mars!E:E)&amp;""&amp;_xlfn.XLOOKUP(Pályák!A308,Mars!A:A,Mars!F:F)</f>
        <v>+23</v>
      </c>
      <c r="F308" s="12" t="str">
        <f>_xlfn.XLOOKUP(Pályák!A308,Mars!A:A,Mars!E:E)&amp;""&amp;_xlfn.XLOOKUP(Pályák!A308,Mars!A:A,Mars!G:G)</f>
        <v>+54</v>
      </c>
      <c r="G308" s="12" t="str">
        <f>_xlfn.XLOOKUP(Pályák!A308,Mars!A:A,Mars!E:E)&amp;""&amp;_xlfn.XLOOKUP(Pályák!A308,Mars!A:A,Mars!H:H)</f>
        <v>+22,7</v>
      </c>
    </row>
    <row r="309" spans="1:7" x14ac:dyDescent="0.25">
      <c r="A309" s="3">
        <v>44868</v>
      </c>
      <c r="B309" s="12">
        <f>_xlfn.XLOOKUP(Pályák!A309,Mars!A:A,Mars!B:B)</f>
        <v>5</v>
      </c>
      <c r="C309" s="12">
        <f>_xlfn.XLOOKUP(Pályák!A309,Mars!A:A,Mars!C:C)</f>
        <v>39</v>
      </c>
      <c r="D309" s="12">
        <f>_xlfn.XLOOKUP(Pályák!A309,Mars!A:A,Mars!D:D)</f>
        <v>1.55</v>
      </c>
      <c r="E309" s="12" t="str">
        <f>_xlfn.XLOOKUP(Pályák!A309,Mars!A:A,Mars!E:E)&amp;""&amp;_xlfn.XLOOKUP(Pályák!A309,Mars!A:A,Mars!F:F)</f>
        <v>+23</v>
      </c>
      <c r="F309" s="12" t="str">
        <f>_xlfn.XLOOKUP(Pályák!A309,Mars!A:A,Mars!E:E)&amp;""&amp;_xlfn.XLOOKUP(Pályák!A309,Mars!A:A,Mars!G:G)</f>
        <v>+57</v>
      </c>
      <c r="G309" s="12" t="str">
        <f>_xlfn.XLOOKUP(Pályák!A309,Mars!A:A,Mars!E:E)&amp;""&amp;_xlfn.XLOOKUP(Pályák!A309,Mars!A:A,Mars!H:H)</f>
        <v>+6,4</v>
      </c>
    </row>
    <row r="310" spans="1:7" x14ac:dyDescent="0.25">
      <c r="A310" s="3">
        <v>44869</v>
      </c>
      <c r="B310" s="12">
        <f>_xlfn.XLOOKUP(Pályák!A310,Mars!A:A,Mars!B:B)</f>
        <v>5</v>
      </c>
      <c r="C310" s="12">
        <f>_xlfn.XLOOKUP(Pályák!A310,Mars!A:A,Mars!C:C)</f>
        <v>38</v>
      </c>
      <c r="D310" s="12">
        <f>_xlfn.XLOOKUP(Pályák!A310,Mars!A:A,Mars!D:D)</f>
        <v>46.08</v>
      </c>
      <c r="E310" s="12" t="str">
        <f>_xlfn.XLOOKUP(Pályák!A310,Mars!A:A,Mars!E:E)&amp;""&amp;_xlfn.XLOOKUP(Pályák!A310,Mars!A:A,Mars!F:F)</f>
        <v>+23</v>
      </c>
      <c r="F310" s="12" t="str">
        <f>_xlfn.XLOOKUP(Pályák!A310,Mars!A:A,Mars!E:E)&amp;""&amp;_xlfn.XLOOKUP(Pályák!A310,Mars!A:A,Mars!G:G)</f>
        <v>+59</v>
      </c>
      <c r="G310" s="12" t="str">
        <f>_xlfn.XLOOKUP(Pályák!A310,Mars!A:A,Mars!E:E)&amp;""&amp;_xlfn.XLOOKUP(Pályák!A310,Mars!A:A,Mars!H:H)</f>
        <v>+50,1</v>
      </c>
    </row>
    <row r="311" spans="1:7" x14ac:dyDescent="0.25">
      <c r="A311" s="3">
        <v>44870</v>
      </c>
      <c r="B311" s="12">
        <f>_xlfn.XLOOKUP(Pályák!A311,Mars!A:A,Mars!B:B)</f>
        <v>5</v>
      </c>
      <c r="C311" s="12">
        <f>_xlfn.XLOOKUP(Pályák!A311,Mars!A:A,Mars!C:C)</f>
        <v>38</v>
      </c>
      <c r="D311" s="12">
        <f>_xlfn.XLOOKUP(Pályák!A311,Mars!A:A,Mars!D:D)</f>
        <v>26.75</v>
      </c>
      <c r="E311" s="12" t="str">
        <f>_xlfn.XLOOKUP(Pályák!A311,Mars!A:A,Mars!E:E)&amp;""&amp;_xlfn.XLOOKUP(Pályák!A311,Mars!A:A,Mars!F:F)</f>
        <v>+24</v>
      </c>
      <c r="F311" s="12" t="str">
        <f>_xlfn.XLOOKUP(Pályák!A311,Mars!A:A,Mars!E:E)&amp;""&amp;_xlfn.XLOOKUP(Pályák!A311,Mars!A:A,Mars!G:G)</f>
        <v>+2</v>
      </c>
      <c r="G311" s="12" t="str">
        <f>_xlfn.XLOOKUP(Pályák!A311,Mars!A:A,Mars!E:E)&amp;""&amp;_xlfn.XLOOKUP(Pályák!A311,Mars!A:A,Mars!H:H)</f>
        <v>+33,4</v>
      </c>
    </row>
    <row r="312" spans="1:7" x14ac:dyDescent="0.25">
      <c r="A312" s="3">
        <v>44871</v>
      </c>
      <c r="B312" s="12">
        <f>_xlfn.XLOOKUP(Pályák!A312,Mars!A:A,Mars!B:B)</f>
        <v>5</v>
      </c>
      <c r="C312" s="12">
        <f>_xlfn.XLOOKUP(Pályák!A312,Mars!A:A,Mars!C:C)</f>
        <v>38</v>
      </c>
      <c r="D312" s="12">
        <f>_xlfn.XLOOKUP(Pályák!A312,Mars!A:A,Mars!D:D)</f>
        <v>3.57</v>
      </c>
      <c r="E312" s="12" t="str">
        <f>_xlfn.XLOOKUP(Pályák!A312,Mars!A:A,Mars!E:E)&amp;""&amp;_xlfn.XLOOKUP(Pályák!A312,Mars!A:A,Mars!F:F)</f>
        <v>+24</v>
      </c>
      <c r="F312" s="12" t="str">
        <f>_xlfn.XLOOKUP(Pályák!A312,Mars!A:A,Mars!E:E)&amp;""&amp;_xlfn.XLOOKUP(Pályák!A312,Mars!A:A,Mars!G:G)</f>
        <v>+5</v>
      </c>
      <c r="G312" s="12" t="str">
        <f>_xlfn.XLOOKUP(Pályák!A312,Mars!A:A,Mars!E:E)&amp;""&amp;_xlfn.XLOOKUP(Pályák!A312,Mars!A:A,Mars!H:H)</f>
        <v>+16,3</v>
      </c>
    </row>
    <row r="313" spans="1:7" x14ac:dyDescent="0.25">
      <c r="A313" s="3">
        <v>44872</v>
      </c>
      <c r="B313" s="12">
        <f>_xlfn.XLOOKUP(Pályák!A313,Mars!A:A,Mars!B:B)</f>
        <v>5</v>
      </c>
      <c r="C313" s="12">
        <f>_xlfn.XLOOKUP(Pályák!A313,Mars!A:A,Mars!C:C)</f>
        <v>37</v>
      </c>
      <c r="D313" s="12">
        <f>_xlfn.XLOOKUP(Pályák!A313,Mars!A:A,Mars!D:D)</f>
        <v>36.520000000000003</v>
      </c>
      <c r="E313" s="12" t="str">
        <f>_xlfn.XLOOKUP(Pályák!A313,Mars!A:A,Mars!E:E)&amp;""&amp;_xlfn.XLOOKUP(Pályák!A313,Mars!A:A,Mars!F:F)</f>
        <v>+24</v>
      </c>
      <c r="F313" s="12" t="str">
        <f>_xlfn.XLOOKUP(Pályák!A313,Mars!A:A,Mars!E:E)&amp;""&amp;_xlfn.XLOOKUP(Pályák!A313,Mars!A:A,Mars!G:G)</f>
        <v>+7</v>
      </c>
      <c r="G313" s="12" t="str">
        <f>_xlfn.XLOOKUP(Pályák!A313,Mars!A:A,Mars!E:E)&amp;""&amp;_xlfn.XLOOKUP(Pályák!A313,Mars!A:A,Mars!H:H)</f>
        <v>+58,6</v>
      </c>
    </row>
    <row r="314" spans="1:7" x14ac:dyDescent="0.25">
      <c r="A314" s="3">
        <v>44873</v>
      </c>
      <c r="B314" s="12">
        <f>_xlfn.XLOOKUP(Pályák!A314,Mars!A:A,Mars!B:B)</f>
        <v>5</v>
      </c>
      <c r="C314" s="12">
        <f>_xlfn.XLOOKUP(Pályák!A314,Mars!A:A,Mars!C:C)</f>
        <v>37</v>
      </c>
      <c r="D314" s="12">
        <f>_xlfn.XLOOKUP(Pályák!A314,Mars!A:A,Mars!D:D)</f>
        <v>5.59</v>
      </c>
      <c r="E314" s="12" t="str">
        <f>_xlfn.XLOOKUP(Pályák!A314,Mars!A:A,Mars!E:E)&amp;""&amp;_xlfn.XLOOKUP(Pályák!A314,Mars!A:A,Mars!F:F)</f>
        <v>+24</v>
      </c>
      <c r="F314" s="12" t="str">
        <f>_xlfn.XLOOKUP(Pályák!A314,Mars!A:A,Mars!E:E)&amp;""&amp;_xlfn.XLOOKUP(Pályák!A314,Mars!A:A,Mars!G:G)</f>
        <v>+10</v>
      </c>
      <c r="G314" s="12" t="str">
        <f>_xlfn.XLOOKUP(Pályák!A314,Mars!A:A,Mars!E:E)&amp;""&amp;_xlfn.XLOOKUP(Pályák!A314,Mars!A:A,Mars!H:H)</f>
        <v>+40</v>
      </c>
    </row>
    <row r="315" spans="1:7" x14ac:dyDescent="0.25">
      <c r="A315" s="3">
        <v>44874</v>
      </c>
      <c r="B315" s="12">
        <f>_xlfn.XLOOKUP(Pályák!A315,Mars!A:A,Mars!B:B)</f>
        <v>5</v>
      </c>
      <c r="C315" s="12">
        <f>_xlfn.XLOOKUP(Pályák!A315,Mars!A:A,Mars!C:C)</f>
        <v>36</v>
      </c>
      <c r="D315" s="12">
        <f>_xlfn.XLOOKUP(Pályák!A315,Mars!A:A,Mars!D:D)</f>
        <v>30.8</v>
      </c>
      <c r="E315" s="12" t="str">
        <f>_xlfn.XLOOKUP(Pályák!A315,Mars!A:A,Mars!E:E)&amp;""&amp;_xlfn.XLOOKUP(Pályák!A315,Mars!A:A,Mars!F:F)</f>
        <v>+24</v>
      </c>
      <c r="F315" s="12" t="str">
        <f>_xlfn.XLOOKUP(Pályák!A315,Mars!A:A,Mars!E:E)&amp;""&amp;_xlfn.XLOOKUP(Pályák!A315,Mars!A:A,Mars!G:G)</f>
        <v>+13</v>
      </c>
      <c r="G315" s="12" t="str">
        <f>_xlfn.XLOOKUP(Pályák!A315,Mars!A:A,Mars!E:E)&amp;""&amp;_xlfn.XLOOKUP(Pályák!A315,Mars!A:A,Mars!H:H)</f>
        <v>+20,3</v>
      </c>
    </row>
    <row r="316" spans="1:7" x14ac:dyDescent="0.25">
      <c r="A316" s="3">
        <v>44875</v>
      </c>
      <c r="B316" s="12">
        <f>_xlfn.XLOOKUP(Pályák!A316,Mars!A:A,Mars!B:B)</f>
        <v>5</v>
      </c>
      <c r="C316" s="12">
        <f>_xlfn.XLOOKUP(Pályák!A316,Mars!A:A,Mars!C:C)</f>
        <v>35</v>
      </c>
      <c r="D316" s="12">
        <f>_xlfn.XLOOKUP(Pályák!A316,Mars!A:A,Mars!D:D)</f>
        <v>52.16</v>
      </c>
      <c r="E316" s="12" t="str">
        <f>_xlfn.XLOOKUP(Pályák!A316,Mars!A:A,Mars!E:E)&amp;""&amp;_xlfn.XLOOKUP(Pályák!A316,Mars!A:A,Mars!F:F)</f>
        <v>+24</v>
      </c>
      <c r="F316" s="12" t="str">
        <f>_xlfn.XLOOKUP(Pályák!A316,Mars!A:A,Mars!E:E)&amp;""&amp;_xlfn.XLOOKUP(Pályák!A316,Mars!A:A,Mars!G:G)</f>
        <v>+15</v>
      </c>
      <c r="G316" s="12" t="str">
        <f>_xlfn.XLOOKUP(Pályák!A316,Mars!A:A,Mars!E:E)&amp;""&amp;_xlfn.XLOOKUP(Pályák!A316,Mars!A:A,Mars!H:H)</f>
        <v>+59,2</v>
      </c>
    </row>
    <row r="317" spans="1:7" x14ac:dyDescent="0.25">
      <c r="A317" s="3">
        <v>44876</v>
      </c>
      <c r="B317" s="12">
        <f>_xlfn.XLOOKUP(Pályák!A317,Mars!A:A,Mars!B:B)</f>
        <v>5</v>
      </c>
      <c r="C317" s="12">
        <f>_xlfn.XLOOKUP(Pályák!A317,Mars!A:A,Mars!C:C)</f>
        <v>35</v>
      </c>
      <c r="D317" s="12">
        <f>_xlfn.XLOOKUP(Pályák!A317,Mars!A:A,Mars!D:D)</f>
        <v>9.66</v>
      </c>
      <c r="E317" s="12" t="str">
        <f>_xlfn.XLOOKUP(Pályák!A317,Mars!A:A,Mars!E:E)&amp;""&amp;_xlfn.XLOOKUP(Pályák!A317,Mars!A:A,Mars!F:F)</f>
        <v>+24</v>
      </c>
      <c r="F317" s="12" t="str">
        <f>_xlfn.XLOOKUP(Pályák!A317,Mars!A:A,Mars!E:E)&amp;""&amp;_xlfn.XLOOKUP(Pályák!A317,Mars!A:A,Mars!G:G)</f>
        <v>+18</v>
      </c>
      <c r="G317" s="12" t="str">
        <f>_xlfn.XLOOKUP(Pályák!A317,Mars!A:A,Mars!E:E)&amp;""&amp;_xlfn.XLOOKUP(Pályák!A317,Mars!A:A,Mars!H:H)</f>
        <v>+36,3</v>
      </c>
    </row>
    <row r="318" spans="1:7" x14ac:dyDescent="0.25">
      <c r="A318" s="3">
        <v>44877</v>
      </c>
      <c r="B318" s="12">
        <f>_xlfn.XLOOKUP(Pályák!A318,Mars!A:A,Mars!B:B)</f>
        <v>5</v>
      </c>
      <c r="C318" s="12">
        <f>_xlfn.XLOOKUP(Pályák!A318,Mars!A:A,Mars!C:C)</f>
        <v>34</v>
      </c>
      <c r="D318" s="12">
        <f>_xlfn.XLOOKUP(Pályák!A318,Mars!A:A,Mars!D:D)</f>
        <v>23.36</v>
      </c>
      <c r="E318" s="12" t="str">
        <f>_xlfn.XLOOKUP(Pályák!A318,Mars!A:A,Mars!E:E)&amp;""&amp;_xlfn.XLOOKUP(Pályák!A318,Mars!A:A,Mars!F:F)</f>
        <v>+24</v>
      </c>
      <c r="F318" s="12" t="str">
        <f>_xlfn.XLOOKUP(Pályák!A318,Mars!A:A,Mars!E:E)&amp;""&amp;_xlfn.XLOOKUP(Pályák!A318,Mars!A:A,Mars!G:G)</f>
        <v>+21</v>
      </c>
      <c r="G318" s="12" t="str">
        <f>_xlfn.XLOOKUP(Pályák!A318,Mars!A:A,Mars!E:E)&amp;""&amp;_xlfn.XLOOKUP(Pályák!A318,Mars!A:A,Mars!H:H)</f>
        <v>+11,5</v>
      </c>
    </row>
    <row r="319" spans="1:7" x14ac:dyDescent="0.25">
      <c r="A319" s="3">
        <v>44878</v>
      </c>
      <c r="B319" s="12">
        <f>_xlfn.XLOOKUP(Pályák!A319,Mars!A:A,Mars!B:B)</f>
        <v>5</v>
      </c>
      <c r="C319" s="12">
        <f>_xlfn.XLOOKUP(Pályák!A319,Mars!A:A,Mars!C:C)</f>
        <v>33</v>
      </c>
      <c r="D319" s="12">
        <f>_xlfn.XLOOKUP(Pályák!A319,Mars!A:A,Mars!D:D)</f>
        <v>33.26</v>
      </c>
      <c r="E319" s="12" t="str">
        <f>_xlfn.XLOOKUP(Pályák!A319,Mars!A:A,Mars!E:E)&amp;""&amp;_xlfn.XLOOKUP(Pályák!A319,Mars!A:A,Mars!F:F)</f>
        <v>+24</v>
      </c>
      <c r="F319" s="12" t="str">
        <f>_xlfn.XLOOKUP(Pályák!A319,Mars!A:A,Mars!E:E)&amp;""&amp;_xlfn.XLOOKUP(Pályák!A319,Mars!A:A,Mars!G:G)</f>
        <v>+23</v>
      </c>
      <c r="G319" s="12" t="str">
        <f>_xlfn.XLOOKUP(Pályák!A319,Mars!A:A,Mars!E:E)&amp;""&amp;_xlfn.XLOOKUP(Pályák!A319,Mars!A:A,Mars!H:H)</f>
        <v>+44,2</v>
      </c>
    </row>
    <row r="320" spans="1:7" x14ac:dyDescent="0.25">
      <c r="A320" s="3">
        <v>44879</v>
      </c>
      <c r="B320" s="12">
        <f>_xlfn.XLOOKUP(Pályák!A320,Mars!A:A,Mars!B:B)</f>
        <v>5</v>
      </c>
      <c r="C320" s="12">
        <f>_xlfn.XLOOKUP(Pályák!A320,Mars!A:A,Mars!C:C)</f>
        <v>32</v>
      </c>
      <c r="D320" s="12">
        <f>_xlfn.XLOOKUP(Pályák!A320,Mars!A:A,Mars!D:D)</f>
        <v>39.42</v>
      </c>
      <c r="E320" s="12" t="str">
        <f>_xlfn.XLOOKUP(Pályák!A320,Mars!A:A,Mars!E:E)&amp;""&amp;_xlfn.XLOOKUP(Pályák!A320,Mars!A:A,Mars!F:F)</f>
        <v>+24</v>
      </c>
      <c r="F320" s="12" t="str">
        <f>_xlfn.XLOOKUP(Pályák!A320,Mars!A:A,Mars!E:E)&amp;""&amp;_xlfn.XLOOKUP(Pályák!A320,Mars!A:A,Mars!G:G)</f>
        <v>+26</v>
      </c>
      <c r="G320" s="12" t="str">
        <f>_xlfn.XLOOKUP(Pályák!A320,Mars!A:A,Mars!E:E)&amp;""&amp;_xlfn.XLOOKUP(Pályák!A320,Mars!A:A,Mars!H:H)</f>
        <v>+14,3</v>
      </c>
    </row>
    <row r="321" spans="1:7" x14ac:dyDescent="0.25">
      <c r="A321" s="3">
        <v>44880</v>
      </c>
      <c r="B321" s="12">
        <f>_xlfn.XLOOKUP(Pályák!A321,Mars!A:A,Mars!B:B)</f>
        <v>5</v>
      </c>
      <c r="C321" s="12">
        <f>_xlfn.XLOOKUP(Pályák!A321,Mars!A:A,Mars!C:C)</f>
        <v>31</v>
      </c>
      <c r="D321" s="12">
        <f>_xlfn.XLOOKUP(Pályák!A321,Mars!A:A,Mars!D:D)</f>
        <v>41.89</v>
      </c>
      <c r="E321" s="12" t="str">
        <f>_xlfn.XLOOKUP(Pályák!A321,Mars!A:A,Mars!E:E)&amp;""&amp;_xlfn.XLOOKUP(Pályák!A321,Mars!A:A,Mars!F:F)</f>
        <v>+24</v>
      </c>
      <c r="F321" s="12" t="str">
        <f>_xlfn.XLOOKUP(Pályák!A321,Mars!A:A,Mars!E:E)&amp;""&amp;_xlfn.XLOOKUP(Pályák!A321,Mars!A:A,Mars!G:G)</f>
        <v>+28</v>
      </c>
      <c r="G321" s="12" t="str">
        <f>_xlfn.XLOOKUP(Pályák!A321,Mars!A:A,Mars!E:E)&amp;""&amp;_xlfn.XLOOKUP(Pályák!A321,Mars!A:A,Mars!H:H)</f>
        <v>+41,2</v>
      </c>
    </row>
    <row r="322" spans="1:7" x14ac:dyDescent="0.25">
      <c r="A322" s="3">
        <v>44881</v>
      </c>
      <c r="B322" s="12">
        <f>_xlfn.XLOOKUP(Pályák!A322,Mars!A:A,Mars!B:B)</f>
        <v>5</v>
      </c>
      <c r="C322" s="12">
        <f>_xlfn.XLOOKUP(Pályák!A322,Mars!A:A,Mars!C:C)</f>
        <v>30</v>
      </c>
      <c r="D322" s="12">
        <f>_xlfn.XLOOKUP(Pályák!A322,Mars!A:A,Mars!D:D)</f>
        <v>40.74</v>
      </c>
      <c r="E322" s="12" t="str">
        <f>_xlfn.XLOOKUP(Pályák!A322,Mars!A:A,Mars!E:E)&amp;""&amp;_xlfn.XLOOKUP(Pályák!A322,Mars!A:A,Mars!F:F)</f>
        <v>+24</v>
      </c>
      <c r="F322" s="12" t="str">
        <f>_xlfn.XLOOKUP(Pályák!A322,Mars!A:A,Mars!E:E)&amp;""&amp;_xlfn.XLOOKUP(Pályák!A322,Mars!A:A,Mars!G:G)</f>
        <v>+31</v>
      </c>
      <c r="G322" s="12" t="str">
        <f>_xlfn.XLOOKUP(Pályák!A322,Mars!A:A,Mars!E:E)&amp;""&amp;_xlfn.XLOOKUP(Pályák!A322,Mars!A:A,Mars!H:H)</f>
        <v>+4,7</v>
      </c>
    </row>
    <row r="323" spans="1:7" x14ac:dyDescent="0.25">
      <c r="A323" s="3">
        <v>44882</v>
      </c>
      <c r="B323" s="12">
        <f>_xlfn.XLOOKUP(Pályák!A323,Mars!A:A,Mars!B:B)</f>
        <v>5</v>
      </c>
      <c r="C323" s="12">
        <f>_xlfn.XLOOKUP(Pályák!A323,Mars!A:A,Mars!C:C)</f>
        <v>29</v>
      </c>
      <c r="D323" s="12">
        <f>_xlfn.XLOOKUP(Pályák!A323,Mars!A:A,Mars!D:D)</f>
        <v>36.020000000000003</v>
      </c>
      <c r="E323" s="12" t="str">
        <f>_xlfn.XLOOKUP(Pályák!A323,Mars!A:A,Mars!E:E)&amp;""&amp;_xlfn.XLOOKUP(Pályák!A323,Mars!A:A,Mars!F:F)</f>
        <v>+24</v>
      </c>
      <c r="F323" s="12" t="str">
        <f>_xlfn.XLOOKUP(Pályák!A323,Mars!A:A,Mars!E:E)&amp;""&amp;_xlfn.XLOOKUP(Pályák!A323,Mars!A:A,Mars!G:G)</f>
        <v>+33</v>
      </c>
      <c r="G323" s="12" t="str">
        <f>_xlfn.XLOOKUP(Pályák!A323,Mars!A:A,Mars!E:E)&amp;""&amp;_xlfn.XLOOKUP(Pályák!A323,Mars!A:A,Mars!H:H)</f>
        <v>+24,3</v>
      </c>
    </row>
    <row r="324" spans="1:7" x14ac:dyDescent="0.25">
      <c r="A324" s="3">
        <v>44883</v>
      </c>
      <c r="B324" s="12">
        <f>_xlfn.XLOOKUP(Pályák!A324,Mars!A:A,Mars!B:B)</f>
        <v>5</v>
      </c>
      <c r="C324" s="12">
        <f>_xlfn.XLOOKUP(Pályák!A324,Mars!A:A,Mars!C:C)</f>
        <v>28</v>
      </c>
      <c r="D324" s="12">
        <f>_xlfn.XLOOKUP(Pályák!A324,Mars!A:A,Mars!D:D)</f>
        <v>27.84</v>
      </c>
      <c r="E324" s="12" t="str">
        <f>_xlfn.XLOOKUP(Pályák!A324,Mars!A:A,Mars!E:E)&amp;""&amp;_xlfn.XLOOKUP(Pályák!A324,Mars!A:A,Mars!F:F)</f>
        <v>+24</v>
      </c>
      <c r="F324" s="12" t="str">
        <f>_xlfn.XLOOKUP(Pályák!A324,Mars!A:A,Mars!E:E)&amp;""&amp;_xlfn.XLOOKUP(Pályák!A324,Mars!A:A,Mars!G:G)</f>
        <v>+35</v>
      </c>
      <c r="G324" s="12" t="str">
        <f>_xlfn.XLOOKUP(Pályák!A324,Mars!A:A,Mars!E:E)&amp;""&amp;_xlfn.XLOOKUP(Pályák!A324,Mars!A:A,Mars!H:H)</f>
        <v>+39,7</v>
      </c>
    </row>
    <row r="325" spans="1:7" x14ac:dyDescent="0.25">
      <c r="A325" s="3">
        <v>44884</v>
      </c>
      <c r="B325" s="12">
        <f>_xlfn.XLOOKUP(Pályák!A325,Mars!A:A,Mars!B:B)</f>
        <v>5</v>
      </c>
      <c r="C325" s="12">
        <f>_xlfn.XLOOKUP(Pályák!A325,Mars!A:A,Mars!C:C)</f>
        <v>27</v>
      </c>
      <c r="D325" s="12">
        <f>_xlfn.XLOOKUP(Pályák!A325,Mars!A:A,Mars!D:D)</f>
        <v>16.29</v>
      </c>
      <c r="E325" s="12" t="str">
        <f>_xlfn.XLOOKUP(Pályák!A325,Mars!A:A,Mars!E:E)&amp;""&amp;_xlfn.XLOOKUP(Pályák!A325,Mars!A:A,Mars!F:F)</f>
        <v>+24</v>
      </c>
      <c r="F325" s="12" t="str">
        <f>_xlfn.XLOOKUP(Pályák!A325,Mars!A:A,Mars!E:E)&amp;""&amp;_xlfn.XLOOKUP(Pályák!A325,Mars!A:A,Mars!G:G)</f>
        <v>+37</v>
      </c>
      <c r="G325" s="12" t="str">
        <f>_xlfn.XLOOKUP(Pályák!A325,Mars!A:A,Mars!E:E)&amp;""&amp;_xlfn.XLOOKUP(Pályák!A325,Mars!A:A,Mars!H:H)</f>
        <v>+50,4</v>
      </c>
    </row>
    <row r="326" spans="1:7" x14ac:dyDescent="0.25">
      <c r="A326" s="3">
        <v>44885</v>
      </c>
      <c r="B326" s="12">
        <f>_xlfn.XLOOKUP(Pályák!A326,Mars!A:A,Mars!B:B)</f>
        <v>5</v>
      </c>
      <c r="C326" s="12">
        <f>_xlfn.XLOOKUP(Pályák!A326,Mars!A:A,Mars!C:C)</f>
        <v>26</v>
      </c>
      <c r="D326" s="12">
        <f>_xlfn.XLOOKUP(Pályák!A326,Mars!A:A,Mars!D:D)</f>
        <v>1.48</v>
      </c>
      <c r="E326" s="12" t="str">
        <f>_xlfn.XLOOKUP(Pályák!A326,Mars!A:A,Mars!E:E)&amp;""&amp;_xlfn.XLOOKUP(Pályák!A326,Mars!A:A,Mars!F:F)</f>
        <v>+24</v>
      </c>
      <c r="F326" s="12" t="str">
        <f>_xlfn.XLOOKUP(Pályák!A326,Mars!A:A,Mars!E:E)&amp;""&amp;_xlfn.XLOOKUP(Pályák!A326,Mars!A:A,Mars!G:G)</f>
        <v>+39</v>
      </c>
      <c r="G326" s="12" t="str">
        <f>_xlfn.XLOOKUP(Pályák!A326,Mars!A:A,Mars!E:E)&amp;""&amp;_xlfn.XLOOKUP(Pályák!A326,Mars!A:A,Mars!H:H)</f>
        <v>+56</v>
      </c>
    </row>
    <row r="327" spans="1:7" x14ac:dyDescent="0.25">
      <c r="A327" s="3">
        <v>44886</v>
      </c>
      <c r="B327" s="12">
        <f>_xlfn.XLOOKUP(Pályák!A327,Mars!A:A,Mars!B:B)</f>
        <v>5</v>
      </c>
      <c r="C327" s="12">
        <f>_xlfn.XLOOKUP(Pályák!A327,Mars!A:A,Mars!C:C)</f>
        <v>24</v>
      </c>
      <c r="D327" s="12">
        <f>_xlfn.XLOOKUP(Pályák!A327,Mars!A:A,Mars!D:D)</f>
        <v>43.53</v>
      </c>
      <c r="E327" s="12" t="str">
        <f>_xlfn.XLOOKUP(Pályák!A327,Mars!A:A,Mars!E:E)&amp;""&amp;_xlfn.XLOOKUP(Pályák!A327,Mars!A:A,Mars!F:F)</f>
        <v>+24</v>
      </c>
      <c r="F327" s="12" t="str">
        <f>_xlfn.XLOOKUP(Pályák!A327,Mars!A:A,Mars!E:E)&amp;""&amp;_xlfn.XLOOKUP(Pályák!A327,Mars!A:A,Mars!G:G)</f>
        <v>+41</v>
      </c>
      <c r="G327" s="12" t="str">
        <f>_xlfn.XLOOKUP(Pályák!A327,Mars!A:A,Mars!E:E)&amp;""&amp;_xlfn.XLOOKUP(Pályák!A327,Mars!A:A,Mars!H:H)</f>
        <v>+56,1</v>
      </c>
    </row>
    <row r="328" spans="1:7" x14ac:dyDescent="0.25">
      <c r="A328" s="3">
        <v>44887</v>
      </c>
      <c r="B328" s="12">
        <f>_xlfn.XLOOKUP(Pályák!A328,Mars!A:A,Mars!B:B)</f>
        <v>5</v>
      </c>
      <c r="C328" s="12">
        <f>_xlfn.XLOOKUP(Pályák!A328,Mars!A:A,Mars!C:C)</f>
        <v>23</v>
      </c>
      <c r="D328" s="12">
        <f>_xlfn.XLOOKUP(Pályák!A328,Mars!A:A,Mars!D:D)</f>
        <v>22.59</v>
      </c>
      <c r="E328" s="12" t="str">
        <f>_xlfn.XLOOKUP(Pályák!A328,Mars!A:A,Mars!E:E)&amp;""&amp;_xlfn.XLOOKUP(Pályák!A328,Mars!A:A,Mars!F:F)</f>
        <v>+24</v>
      </c>
      <c r="F328" s="12" t="str">
        <f>_xlfn.XLOOKUP(Pályák!A328,Mars!A:A,Mars!E:E)&amp;""&amp;_xlfn.XLOOKUP(Pályák!A328,Mars!A:A,Mars!G:G)</f>
        <v>+43</v>
      </c>
      <c r="G328" s="12" t="str">
        <f>_xlfn.XLOOKUP(Pályák!A328,Mars!A:A,Mars!E:E)&amp;""&amp;_xlfn.XLOOKUP(Pályák!A328,Mars!A:A,Mars!H:H)</f>
        <v>+50,5</v>
      </c>
    </row>
    <row r="329" spans="1:7" x14ac:dyDescent="0.25">
      <c r="A329" s="3">
        <v>44888</v>
      </c>
      <c r="B329" s="12">
        <f>_xlfn.XLOOKUP(Pályák!A329,Mars!A:A,Mars!B:B)</f>
        <v>5</v>
      </c>
      <c r="C329" s="12">
        <f>_xlfn.XLOOKUP(Pályák!A329,Mars!A:A,Mars!C:C)</f>
        <v>21</v>
      </c>
      <c r="D329" s="12">
        <f>_xlfn.XLOOKUP(Pályák!A329,Mars!A:A,Mars!D:D)</f>
        <v>58.79</v>
      </c>
      <c r="E329" s="12" t="str">
        <f>_xlfn.XLOOKUP(Pályák!A329,Mars!A:A,Mars!E:E)&amp;""&amp;_xlfn.XLOOKUP(Pályák!A329,Mars!A:A,Mars!F:F)</f>
        <v>+24</v>
      </c>
      <c r="F329" s="12" t="str">
        <f>_xlfn.XLOOKUP(Pályák!A329,Mars!A:A,Mars!E:E)&amp;""&amp;_xlfn.XLOOKUP(Pályák!A329,Mars!A:A,Mars!G:G)</f>
        <v>+45</v>
      </c>
      <c r="G329" s="12" t="str">
        <f>_xlfn.XLOOKUP(Pályák!A329,Mars!A:A,Mars!E:E)&amp;""&amp;_xlfn.XLOOKUP(Pályák!A329,Mars!A:A,Mars!H:H)</f>
        <v>+38,6</v>
      </c>
    </row>
    <row r="330" spans="1:7" x14ac:dyDescent="0.25">
      <c r="A330" s="3">
        <v>44889</v>
      </c>
      <c r="B330" s="12">
        <f>_xlfn.XLOOKUP(Pályák!A330,Mars!A:A,Mars!B:B)</f>
        <v>5</v>
      </c>
      <c r="C330" s="12">
        <f>_xlfn.XLOOKUP(Pályák!A330,Mars!A:A,Mars!C:C)</f>
        <v>20</v>
      </c>
      <c r="D330" s="12">
        <f>_xlfn.XLOOKUP(Pályák!A330,Mars!A:A,Mars!D:D)</f>
        <v>32.299999999999997</v>
      </c>
      <c r="E330" s="12" t="str">
        <f>_xlfn.XLOOKUP(Pályák!A330,Mars!A:A,Mars!E:E)&amp;""&amp;_xlfn.XLOOKUP(Pályák!A330,Mars!A:A,Mars!F:F)</f>
        <v>+24</v>
      </c>
      <c r="F330" s="12" t="str">
        <f>_xlfn.XLOOKUP(Pályák!A330,Mars!A:A,Mars!E:E)&amp;""&amp;_xlfn.XLOOKUP(Pályák!A330,Mars!A:A,Mars!G:G)</f>
        <v>+47</v>
      </c>
      <c r="G330" s="12" t="str">
        <f>_xlfn.XLOOKUP(Pályák!A330,Mars!A:A,Mars!E:E)&amp;""&amp;_xlfn.XLOOKUP(Pályák!A330,Mars!A:A,Mars!H:H)</f>
        <v>+20,2</v>
      </c>
    </row>
    <row r="331" spans="1:7" x14ac:dyDescent="0.25">
      <c r="A331" s="3">
        <v>44890</v>
      </c>
      <c r="B331" s="12">
        <f>_xlfn.XLOOKUP(Pályák!A331,Mars!A:A,Mars!B:B)</f>
        <v>5</v>
      </c>
      <c r="C331" s="12">
        <f>_xlfn.XLOOKUP(Pályák!A331,Mars!A:A,Mars!C:C)</f>
        <v>19</v>
      </c>
      <c r="D331" s="12">
        <f>_xlfn.XLOOKUP(Pályák!A331,Mars!A:A,Mars!D:D)</f>
        <v>3.31</v>
      </c>
      <c r="E331" s="12" t="str">
        <f>_xlfn.XLOOKUP(Pályák!A331,Mars!A:A,Mars!E:E)&amp;""&amp;_xlfn.XLOOKUP(Pályák!A331,Mars!A:A,Mars!F:F)</f>
        <v>+24</v>
      </c>
      <c r="F331" s="12" t="str">
        <f>_xlfn.XLOOKUP(Pályák!A331,Mars!A:A,Mars!E:E)&amp;""&amp;_xlfn.XLOOKUP(Pályák!A331,Mars!A:A,Mars!G:G)</f>
        <v>+48</v>
      </c>
      <c r="G331" s="12" t="str">
        <f>_xlfn.XLOOKUP(Pályák!A331,Mars!A:A,Mars!E:E)&amp;""&amp;_xlfn.XLOOKUP(Pályák!A331,Mars!A:A,Mars!H:H)</f>
        <v>+54,9</v>
      </c>
    </row>
    <row r="332" spans="1:7" x14ac:dyDescent="0.25">
      <c r="A332" s="3">
        <v>44891</v>
      </c>
      <c r="B332" s="12">
        <f>_xlfn.XLOOKUP(Pályák!A332,Mars!A:A,Mars!B:B)</f>
        <v>5</v>
      </c>
      <c r="C332" s="12">
        <f>_xlfn.XLOOKUP(Pályák!A332,Mars!A:A,Mars!C:C)</f>
        <v>17</v>
      </c>
      <c r="D332" s="12">
        <f>_xlfn.XLOOKUP(Pályák!A332,Mars!A:A,Mars!D:D)</f>
        <v>32</v>
      </c>
      <c r="E332" s="12" t="str">
        <f>_xlfn.XLOOKUP(Pályák!A332,Mars!A:A,Mars!E:E)&amp;""&amp;_xlfn.XLOOKUP(Pályák!A332,Mars!A:A,Mars!F:F)</f>
        <v>+24</v>
      </c>
      <c r="F332" s="12" t="str">
        <f>_xlfn.XLOOKUP(Pályák!A332,Mars!A:A,Mars!E:E)&amp;""&amp;_xlfn.XLOOKUP(Pályák!A332,Mars!A:A,Mars!G:G)</f>
        <v>+50</v>
      </c>
      <c r="G332" s="12" t="str">
        <f>_xlfn.XLOOKUP(Pályák!A332,Mars!A:A,Mars!E:E)&amp;""&amp;_xlfn.XLOOKUP(Pályák!A332,Mars!A:A,Mars!H:H)</f>
        <v>+22,5</v>
      </c>
    </row>
    <row r="333" spans="1:7" x14ac:dyDescent="0.25">
      <c r="A333" s="3">
        <v>44892</v>
      </c>
      <c r="B333" s="12">
        <f>_xlfn.XLOOKUP(Pályák!A333,Mars!A:A,Mars!B:B)</f>
        <v>5</v>
      </c>
      <c r="C333" s="12">
        <f>_xlfn.XLOOKUP(Pályák!A333,Mars!A:A,Mars!C:C)</f>
        <v>15</v>
      </c>
      <c r="D333" s="12">
        <f>_xlfn.XLOOKUP(Pályák!A333,Mars!A:A,Mars!D:D)</f>
        <v>58.57</v>
      </c>
      <c r="E333" s="12" t="str">
        <f>_xlfn.XLOOKUP(Pályák!A333,Mars!A:A,Mars!E:E)&amp;""&amp;_xlfn.XLOOKUP(Pályák!A333,Mars!A:A,Mars!F:F)</f>
        <v>+24</v>
      </c>
      <c r="F333" s="12" t="str">
        <f>_xlfn.XLOOKUP(Pályák!A333,Mars!A:A,Mars!E:E)&amp;""&amp;_xlfn.XLOOKUP(Pályák!A333,Mars!A:A,Mars!G:G)</f>
        <v>+51</v>
      </c>
      <c r="G333" s="12" t="str">
        <f>_xlfn.XLOOKUP(Pályák!A333,Mars!A:A,Mars!E:E)&amp;""&amp;_xlfn.XLOOKUP(Pályák!A333,Mars!A:A,Mars!H:H)</f>
        <v>+42,7</v>
      </c>
    </row>
    <row r="334" spans="1:7" x14ac:dyDescent="0.25">
      <c r="A334" s="3">
        <v>44893</v>
      </c>
      <c r="B334" s="12">
        <f>_xlfn.XLOOKUP(Pályák!A334,Mars!A:A,Mars!B:B)</f>
        <v>5</v>
      </c>
      <c r="C334" s="12">
        <f>_xlfn.XLOOKUP(Pályák!A334,Mars!A:A,Mars!C:C)</f>
        <v>14</v>
      </c>
      <c r="D334" s="12">
        <f>_xlfn.XLOOKUP(Pályák!A334,Mars!A:A,Mars!D:D)</f>
        <v>23.22</v>
      </c>
      <c r="E334" s="12" t="str">
        <f>_xlfn.XLOOKUP(Pályák!A334,Mars!A:A,Mars!E:E)&amp;""&amp;_xlfn.XLOOKUP(Pályák!A334,Mars!A:A,Mars!F:F)</f>
        <v>+24</v>
      </c>
      <c r="F334" s="12" t="str">
        <f>_xlfn.XLOOKUP(Pályák!A334,Mars!A:A,Mars!E:E)&amp;""&amp;_xlfn.XLOOKUP(Pályák!A334,Mars!A:A,Mars!G:G)</f>
        <v>+52</v>
      </c>
      <c r="G334" s="12" t="str">
        <f>_xlfn.XLOOKUP(Pályák!A334,Mars!A:A,Mars!E:E)&amp;""&amp;_xlfn.XLOOKUP(Pályák!A334,Mars!A:A,Mars!H:H)</f>
        <v>+55,2</v>
      </c>
    </row>
    <row r="335" spans="1:7" x14ac:dyDescent="0.25">
      <c r="A335" s="3">
        <v>44894</v>
      </c>
      <c r="B335" s="12">
        <f>_xlfn.XLOOKUP(Pályák!A335,Mars!A:A,Mars!B:B)</f>
        <v>5</v>
      </c>
      <c r="C335" s="12">
        <f>_xlfn.XLOOKUP(Pályák!A335,Mars!A:A,Mars!C:C)</f>
        <v>12</v>
      </c>
      <c r="D335" s="12">
        <f>_xlfn.XLOOKUP(Pályák!A335,Mars!A:A,Mars!D:D)</f>
        <v>46.17</v>
      </c>
      <c r="E335" s="12" t="str">
        <f>_xlfn.XLOOKUP(Pályák!A335,Mars!A:A,Mars!E:E)&amp;""&amp;_xlfn.XLOOKUP(Pályák!A335,Mars!A:A,Mars!F:F)</f>
        <v>+24</v>
      </c>
      <c r="F335" s="12" t="str">
        <f>_xlfn.XLOOKUP(Pályák!A335,Mars!A:A,Mars!E:E)&amp;""&amp;_xlfn.XLOOKUP(Pályák!A335,Mars!A:A,Mars!G:G)</f>
        <v>+53</v>
      </c>
      <c r="G335" s="12" t="str">
        <f>_xlfn.XLOOKUP(Pályák!A335,Mars!A:A,Mars!E:E)&amp;""&amp;_xlfn.XLOOKUP(Pályák!A335,Mars!A:A,Mars!H:H)</f>
        <v>+59,8</v>
      </c>
    </row>
    <row r="336" spans="1:7" x14ac:dyDescent="0.25">
      <c r="A336" s="3">
        <v>44895</v>
      </c>
      <c r="B336" s="12">
        <f>_xlfn.XLOOKUP(Pályák!A336,Mars!A:A,Mars!B:B)</f>
        <v>5</v>
      </c>
      <c r="C336" s="12">
        <f>_xlfn.XLOOKUP(Pályák!A336,Mars!A:A,Mars!C:C)</f>
        <v>11</v>
      </c>
      <c r="D336" s="12">
        <f>_xlfn.XLOOKUP(Pályák!A336,Mars!A:A,Mars!D:D)</f>
        <v>7.64</v>
      </c>
      <c r="E336" s="12" t="str">
        <f>_xlfn.XLOOKUP(Pályák!A336,Mars!A:A,Mars!E:E)&amp;""&amp;_xlfn.XLOOKUP(Pályák!A336,Mars!A:A,Mars!F:F)</f>
        <v>+24</v>
      </c>
      <c r="F336" s="12" t="str">
        <f>_xlfn.XLOOKUP(Pályák!A336,Mars!A:A,Mars!E:E)&amp;""&amp;_xlfn.XLOOKUP(Pályák!A336,Mars!A:A,Mars!G:G)</f>
        <v>+54</v>
      </c>
      <c r="G336" s="12" t="str">
        <f>_xlfn.XLOOKUP(Pályák!A336,Mars!A:A,Mars!E:E)&amp;""&amp;_xlfn.XLOOKUP(Pályák!A336,Mars!A:A,Mars!H:H)</f>
        <v>+56,4</v>
      </c>
    </row>
    <row r="337" spans="1:7" x14ac:dyDescent="0.25">
      <c r="A337" s="3">
        <v>44896</v>
      </c>
      <c r="B337" s="12">
        <f>_xlfn.XLOOKUP(Pályák!A337,Mars!A:A,Mars!B:B)</f>
        <v>5</v>
      </c>
      <c r="C337" s="12">
        <f>_xlfn.XLOOKUP(Pályák!A337,Mars!A:A,Mars!C:C)</f>
        <v>9</v>
      </c>
      <c r="D337" s="12">
        <f>_xlfn.XLOOKUP(Pályák!A337,Mars!A:A,Mars!D:D)</f>
        <v>27.84</v>
      </c>
      <c r="E337" s="12" t="str">
        <f>_xlfn.XLOOKUP(Pályák!A337,Mars!A:A,Mars!E:E)&amp;""&amp;_xlfn.XLOOKUP(Pályák!A337,Mars!A:A,Mars!F:F)</f>
        <v>+24</v>
      </c>
      <c r="F337" s="12" t="str">
        <f>_xlfn.XLOOKUP(Pályák!A337,Mars!A:A,Mars!E:E)&amp;""&amp;_xlfn.XLOOKUP(Pályák!A337,Mars!A:A,Mars!G:G)</f>
        <v>+55</v>
      </c>
      <c r="G337" s="12" t="str">
        <f>_xlfn.XLOOKUP(Pályák!A337,Mars!A:A,Mars!E:E)&amp;""&amp;_xlfn.XLOOKUP(Pályák!A337,Mars!A:A,Mars!H:H)</f>
        <v>+44,9</v>
      </c>
    </row>
    <row r="338" spans="1:7" x14ac:dyDescent="0.25">
      <c r="A338" s="3">
        <v>44897</v>
      </c>
      <c r="B338" s="12">
        <f>_xlfn.XLOOKUP(Pályák!A338,Mars!A:A,Mars!B:B)</f>
        <v>5</v>
      </c>
      <c r="C338" s="12">
        <f>_xlfn.XLOOKUP(Pályák!A338,Mars!A:A,Mars!C:C)</f>
        <v>7</v>
      </c>
      <c r="D338" s="12">
        <f>_xlfn.XLOOKUP(Pályák!A338,Mars!A:A,Mars!D:D)</f>
        <v>47</v>
      </c>
      <c r="E338" s="12" t="str">
        <f>_xlfn.XLOOKUP(Pályák!A338,Mars!A:A,Mars!E:E)&amp;""&amp;_xlfn.XLOOKUP(Pályák!A338,Mars!A:A,Mars!F:F)</f>
        <v>+24</v>
      </c>
      <c r="F338" s="12" t="str">
        <f>_xlfn.XLOOKUP(Pályák!A338,Mars!A:A,Mars!E:E)&amp;""&amp;_xlfn.XLOOKUP(Pályák!A338,Mars!A:A,Mars!G:G)</f>
        <v>+56</v>
      </c>
      <c r="G338" s="12" t="str">
        <f>_xlfn.XLOOKUP(Pályák!A338,Mars!A:A,Mars!E:E)&amp;""&amp;_xlfn.XLOOKUP(Pályák!A338,Mars!A:A,Mars!H:H)</f>
        <v>+25,1</v>
      </c>
    </row>
    <row r="339" spans="1:7" x14ac:dyDescent="0.25">
      <c r="A339" s="3">
        <v>44898</v>
      </c>
      <c r="B339" s="12">
        <f>_xlfn.XLOOKUP(Pályák!A339,Mars!A:A,Mars!B:B)</f>
        <v>5</v>
      </c>
      <c r="C339" s="12">
        <f>_xlfn.XLOOKUP(Pályák!A339,Mars!A:A,Mars!C:C)</f>
        <v>6</v>
      </c>
      <c r="D339" s="12">
        <f>_xlfn.XLOOKUP(Pályák!A339,Mars!A:A,Mars!D:D)</f>
        <v>5.35</v>
      </c>
      <c r="E339" s="12" t="str">
        <f>_xlfn.XLOOKUP(Pályák!A339,Mars!A:A,Mars!E:E)&amp;""&amp;_xlfn.XLOOKUP(Pályák!A339,Mars!A:A,Mars!F:F)</f>
        <v>+24</v>
      </c>
      <c r="F339" s="12" t="str">
        <f>_xlfn.XLOOKUP(Pályák!A339,Mars!A:A,Mars!E:E)&amp;""&amp;_xlfn.XLOOKUP(Pályák!A339,Mars!A:A,Mars!G:G)</f>
        <v>+56</v>
      </c>
      <c r="G339" s="12" t="str">
        <f>_xlfn.XLOOKUP(Pályák!A339,Mars!A:A,Mars!E:E)&amp;""&amp;_xlfn.XLOOKUP(Pályák!A339,Mars!A:A,Mars!H:H)</f>
        <v>+57,1</v>
      </c>
    </row>
    <row r="340" spans="1:7" x14ac:dyDescent="0.25">
      <c r="A340" s="3">
        <v>44899</v>
      </c>
      <c r="B340" s="12">
        <f>_xlfn.XLOOKUP(Pályák!A340,Mars!A:A,Mars!B:B)</f>
        <v>5</v>
      </c>
      <c r="C340" s="12">
        <f>_xlfn.XLOOKUP(Pályák!A340,Mars!A:A,Mars!C:C)</f>
        <v>4</v>
      </c>
      <c r="D340" s="12">
        <f>_xlfn.XLOOKUP(Pályák!A340,Mars!A:A,Mars!D:D)</f>
        <v>23.09</v>
      </c>
      <c r="E340" s="12" t="str">
        <f>_xlfn.XLOOKUP(Pályák!A340,Mars!A:A,Mars!E:E)&amp;""&amp;_xlfn.XLOOKUP(Pályák!A340,Mars!A:A,Mars!F:F)</f>
        <v>+24</v>
      </c>
      <c r="F340" s="12" t="str">
        <f>_xlfn.XLOOKUP(Pályák!A340,Mars!A:A,Mars!E:E)&amp;""&amp;_xlfn.XLOOKUP(Pályák!A340,Mars!A:A,Mars!G:G)</f>
        <v>+57</v>
      </c>
      <c r="G340" s="12" t="str">
        <f>_xlfn.XLOOKUP(Pályák!A340,Mars!A:A,Mars!E:E)&amp;""&amp;_xlfn.XLOOKUP(Pályák!A340,Mars!A:A,Mars!H:H)</f>
        <v>+20,7</v>
      </c>
    </row>
    <row r="341" spans="1:7" x14ac:dyDescent="0.25">
      <c r="A341" s="3">
        <v>44900</v>
      </c>
      <c r="B341" s="12">
        <f>_xlfn.XLOOKUP(Pályák!A341,Mars!A:A,Mars!B:B)</f>
        <v>5</v>
      </c>
      <c r="C341" s="12">
        <f>_xlfn.XLOOKUP(Pályák!A341,Mars!A:A,Mars!C:C)</f>
        <v>2</v>
      </c>
      <c r="D341" s="12">
        <f>_xlfn.XLOOKUP(Pályák!A341,Mars!A:A,Mars!D:D)</f>
        <v>40.47</v>
      </c>
      <c r="E341" s="12" t="str">
        <f>_xlfn.XLOOKUP(Pályák!A341,Mars!A:A,Mars!E:E)&amp;""&amp;_xlfn.XLOOKUP(Pályák!A341,Mars!A:A,Mars!F:F)</f>
        <v>+24</v>
      </c>
      <c r="F341" s="12" t="str">
        <f>_xlfn.XLOOKUP(Pályák!A341,Mars!A:A,Mars!E:E)&amp;""&amp;_xlfn.XLOOKUP(Pályák!A341,Mars!A:A,Mars!G:G)</f>
        <v>+57</v>
      </c>
      <c r="G341" s="12" t="str">
        <f>_xlfn.XLOOKUP(Pályák!A341,Mars!A:A,Mars!E:E)&amp;""&amp;_xlfn.XLOOKUP(Pályák!A341,Mars!A:A,Mars!H:H)</f>
        <v>+36,1</v>
      </c>
    </row>
    <row r="342" spans="1:7" x14ac:dyDescent="0.25">
      <c r="A342" s="3">
        <v>44901</v>
      </c>
      <c r="B342" s="12">
        <f>_xlfn.XLOOKUP(Pályák!A342,Mars!A:A,Mars!B:B)</f>
        <v>5</v>
      </c>
      <c r="C342" s="12">
        <f>_xlfn.XLOOKUP(Pályák!A342,Mars!A:A,Mars!C:C)</f>
        <v>0</v>
      </c>
      <c r="D342" s="12">
        <f>_xlfn.XLOOKUP(Pályák!A342,Mars!A:A,Mars!D:D)</f>
        <v>57.7</v>
      </c>
      <c r="E342" s="12" t="str">
        <f>_xlfn.XLOOKUP(Pályák!A342,Mars!A:A,Mars!E:E)&amp;""&amp;_xlfn.XLOOKUP(Pályák!A342,Mars!A:A,Mars!F:F)</f>
        <v>+24</v>
      </c>
      <c r="F342" s="12" t="str">
        <f>_xlfn.XLOOKUP(Pályák!A342,Mars!A:A,Mars!E:E)&amp;""&amp;_xlfn.XLOOKUP(Pályák!A342,Mars!A:A,Mars!G:G)</f>
        <v>+57</v>
      </c>
      <c r="G342" s="12" t="str">
        <f>_xlfn.XLOOKUP(Pályák!A342,Mars!A:A,Mars!E:E)&amp;""&amp;_xlfn.XLOOKUP(Pályák!A342,Mars!A:A,Mars!H:H)</f>
        <v>+43,3</v>
      </c>
    </row>
    <row r="343" spans="1:7" x14ac:dyDescent="0.25">
      <c r="A343" s="3">
        <v>44902</v>
      </c>
      <c r="B343" s="12">
        <f>_xlfn.XLOOKUP(Pályák!A343,Mars!A:A,Mars!B:B)</f>
        <v>4</v>
      </c>
      <c r="C343" s="12">
        <f>_xlfn.XLOOKUP(Pályák!A343,Mars!A:A,Mars!C:C)</f>
        <v>59</v>
      </c>
      <c r="D343" s="12">
        <f>_xlfn.XLOOKUP(Pályák!A343,Mars!A:A,Mars!D:D)</f>
        <v>15.01</v>
      </c>
      <c r="E343" s="12" t="str">
        <f>_xlfn.XLOOKUP(Pályák!A343,Mars!A:A,Mars!E:E)&amp;""&amp;_xlfn.XLOOKUP(Pályák!A343,Mars!A:A,Mars!F:F)</f>
        <v>+24</v>
      </c>
      <c r="F343" s="12" t="str">
        <f>_xlfn.XLOOKUP(Pályák!A343,Mars!A:A,Mars!E:E)&amp;""&amp;_xlfn.XLOOKUP(Pályák!A343,Mars!A:A,Mars!G:G)</f>
        <v>+57</v>
      </c>
      <c r="G343" s="12" t="str">
        <f>_xlfn.XLOOKUP(Pályák!A343,Mars!A:A,Mars!E:E)&amp;""&amp;_xlfn.XLOOKUP(Pályák!A343,Mars!A:A,Mars!H:H)</f>
        <v>+42,4</v>
      </c>
    </row>
    <row r="344" spans="1:7" x14ac:dyDescent="0.25">
      <c r="A344" s="3">
        <v>44903</v>
      </c>
      <c r="B344" s="12">
        <f>_xlfn.XLOOKUP(Pályák!A344,Mars!A:A,Mars!B:B)</f>
        <v>4</v>
      </c>
      <c r="C344" s="12">
        <f>_xlfn.XLOOKUP(Pályák!A344,Mars!A:A,Mars!C:C)</f>
        <v>57</v>
      </c>
      <c r="D344" s="12">
        <f>_xlfn.XLOOKUP(Pályák!A344,Mars!A:A,Mars!D:D)</f>
        <v>32.61</v>
      </c>
      <c r="E344" s="12" t="str">
        <f>_xlfn.XLOOKUP(Pályák!A344,Mars!A:A,Mars!E:E)&amp;""&amp;_xlfn.XLOOKUP(Pályák!A344,Mars!A:A,Mars!F:F)</f>
        <v>+24</v>
      </c>
      <c r="F344" s="12" t="str">
        <f>_xlfn.XLOOKUP(Pályák!A344,Mars!A:A,Mars!E:E)&amp;""&amp;_xlfn.XLOOKUP(Pályák!A344,Mars!A:A,Mars!G:G)</f>
        <v>+57</v>
      </c>
      <c r="G344" s="12" t="str">
        <f>_xlfn.XLOOKUP(Pályák!A344,Mars!A:A,Mars!E:E)&amp;""&amp;_xlfn.XLOOKUP(Pályák!A344,Mars!A:A,Mars!H:H)</f>
        <v>+33,6</v>
      </c>
    </row>
    <row r="345" spans="1:7" x14ac:dyDescent="0.25">
      <c r="A345" s="3">
        <v>44904</v>
      </c>
      <c r="B345" s="12">
        <f>_xlfn.XLOOKUP(Pályák!A345,Mars!A:A,Mars!B:B)</f>
        <v>4</v>
      </c>
      <c r="C345" s="12">
        <f>_xlfn.XLOOKUP(Pályák!A345,Mars!A:A,Mars!C:C)</f>
        <v>55</v>
      </c>
      <c r="D345" s="12">
        <f>_xlfn.XLOOKUP(Pályák!A345,Mars!A:A,Mars!D:D)</f>
        <v>50.72</v>
      </c>
      <c r="E345" s="12" t="str">
        <f>_xlfn.XLOOKUP(Pályák!A345,Mars!A:A,Mars!E:E)&amp;""&amp;_xlfn.XLOOKUP(Pályák!A345,Mars!A:A,Mars!F:F)</f>
        <v>+24</v>
      </c>
      <c r="F345" s="12" t="str">
        <f>_xlfn.XLOOKUP(Pályák!A345,Mars!A:A,Mars!E:E)&amp;""&amp;_xlfn.XLOOKUP(Pályák!A345,Mars!A:A,Mars!G:G)</f>
        <v>+57</v>
      </c>
      <c r="G345" s="12" t="str">
        <f>_xlfn.XLOOKUP(Pályák!A345,Mars!A:A,Mars!E:E)&amp;""&amp;_xlfn.XLOOKUP(Pályák!A345,Mars!A:A,Mars!H:H)</f>
        <v>+17,2</v>
      </c>
    </row>
    <row r="346" spans="1:7" x14ac:dyDescent="0.25">
      <c r="A346" s="3">
        <v>44905</v>
      </c>
      <c r="B346" s="12">
        <f>_xlfn.XLOOKUP(Pályák!A346,Mars!A:A,Mars!B:B)</f>
        <v>4</v>
      </c>
      <c r="C346" s="12">
        <f>_xlfn.XLOOKUP(Pályák!A346,Mars!A:A,Mars!C:C)</f>
        <v>54</v>
      </c>
      <c r="D346" s="12">
        <f>_xlfn.XLOOKUP(Pályák!A346,Mars!A:A,Mars!D:D)</f>
        <v>9.57</v>
      </c>
      <c r="E346" s="12" t="str">
        <f>_xlfn.XLOOKUP(Pályák!A346,Mars!A:A,Mars!E:E)&amp;""&amp;_xlfn.XLOOKUP(Pályák!A346,Mars!A:A,Mars!F:F)</f>
        <v>+24</v>
      </c>
      <c r="F346" s="12" t="str">
        <f>_xlfn.XLOOKUP(Pályák!A346,Mars!A:A,Mars!E:E)&amp;""&amp;_xlfn.XLOOKUP(Pályák!A346,Mars!A:A,Mars!G:G)</f>
        <v>+56</v>
      </c>
      <c r="G346" s="12" t="str">
        <f>_xlfn.XLOOKUP(Pályák!A346,Mars!A:A,Mars!E:E)&amp;""&amp;_xlfn.XLOOKUP(Pályák!A346,Mars!A:A,Mars!H:H)</f>
        <v>+53,3</v>
      </c>
    </row>
    <row r="347" spans="1:7" x14ac:dyDescent="0.25">
      <c r="A347" s="3">
        <v>44906</v>
      </c>
      <c r="B347" s="12">
        <f>_xlfn.XLOOKUP(Pályák!A347,Mars!A:A,Mars!B:B)</f>
        <v>4</v>
      </c>
      <c r="C347" s="12">
        <f>_xlfn.XLOOKUP(Pályák!A347,Mars!A:A,Mars!C:C)</f>
        <v>52</v>
      </c>
      <c r="D347" s="12">
        <f>_xlfn.XLOOKUP(Pályák!A347,Mars!A:A,Mars!D:D)</f>
        <v>29.35</v>
      </c>
      <c r="E347" s="12" t="str">
        <f>_xlfn.XLOOKUP(Pályák!A347,Mars!A:A,Mars!E:E)&amp;""&amp;_xlfn.XLOOKUP(Pályák!A347,Mars!A:A,Mars!F:F)</f>
        <v>+24</v>
      </c>
      <c r="F347" s="12" t="str">
        <f>_xlfn.XLOOKUP(Pályák!A347,Mars!A:A,Mars!E:E)&amp;""&amp;_xlfn.XLOOKUP(Pályák!A347,Mars!A:A,Mars!G:G)</f>
        <v>+56</v>
      </c>
      <c r="G347" s="12" t="str">
        <f>_xlfn.XLOOKUP(Pályák!A347,Mars!A:A,Mars!E:E)&amp;""&amp;_xlfn.XLOOKUP(Pályák!A347,Mars!A:A,Mars!H:H)</f>
        <v>+22,3</v>
      </c>
    </row>
    <row r="348" spans="1:7" x14ac:dyDescent="0.25">
      <c r="A348" s="3">
        <v>44907</v>
      </c>
      <c r="B348" s="12">
        <f>_xlfn.XLOOKUP(Pályák!A348,Mars!A:A,Mars!B:B)</f>
        <v>4</v>
      </c>
      <c r="C348" s="12">
        <f>_xlfn.XLOOKUP(Pályák!A348,Mars!A:A,Mars!C:C)</f>
        <v>50</v>
      </c>
      <c r="D348" s="12">
        <f>_xlfn.XLOOKUP(Pályák!A348,Mars!A:A,Mars!D:D)</f>
        <v>50.29</v>
      </c>
      <c r="E348" s="12" t="str">
        <f>_xlfn.XLOOKUP(Pályák!A348,Mars!A:A,Mars!E:E)&amp;""&amp;_xlfn.XLOOKUP(Pályák!A348,Mars!A:A,Mars!F:F)</f>
        <v>+24</v>
      </c>
      <c r="F348" s="12" t="str">
        <f>_xlfn.XLOOKUP(Pályák!A348,Mars!A:A,Mars!E:E)&amp;""&amp;_xlfn.XLOOKUP(Pályák!A348,Mars!A:A,Mars!G:G)</f>
        <v>+55</v>
      </c>
      <c r="G348" s="12" t="str">
        <f>_xlfn.XLOOKUP(Pályák!A348,Mars!A:A,Mars!E:E)&amp;""&amp;_xlfn.XLOOKUP(Pályák!A348,Mars!A:A,Mars!H:H)</f>
        <v>+44,5</v>
      </c>
    </row>
    <row r="349" spans="1:7" x14ac:dyDescent="0.25">
      <c r="A349" s="3">
        <v>44908</v>
      </c>
      <c r="B349" s="12">
        <f>_xlfn.XLOOKUP(Pályák!A349,Mars!A:A,Mars!B:B)</f>
        <v>4</v>
      </c>
      <c r="C349" s="12">
        <f>_xlfn.XLOOKUP(Pályák!A349,Mars!A:A,Mars!C:C)</f>
        <v>49</v>
      </c>
      <c r="D349" s="12">
        <f>_xlfn.XLOOKUP(Pályák!A349,Mars!A:A,Mars!D:D)</f>
        <v>12.58</v>
      </c>
      <c r="E349" s="12" t="str">
        <f>_xlfn.XLOOKUP(Pályák!A349,Mars!A:A,Mars!E:E)&amp;""&amp;_xlfn.XLOOKUP(Pályák!A349,Mars!A:A,Mars!F:F)</f>
        <v>+24</v>
      </c>
      <c r="F349" s="12" t="str">
        <f>_xlfn.XLOOKUP(Pályák!A349,Mars!A:A,Mars!E:E)&amp;""&amp;_xlfn.XLOOKUP(Pályák!A349,Mars!A:A,Mars!G:G)</f>
        <v>+55</v>
      </c>
      <c r="G349" s="12" t="str">
        <f>_xlfn.XLOOKUP(Pályák!A349,Mars!A:A,Mars!E:E)&amp;""&amp;_xlfn.XLOOKUP(Pályák!A349,Mars!A:A,Mars!H:H)</f>
        <v>+0,4</v>
      </c>
    </row>
    <row r="350" spans="1:7" x14ac:dyDescent="0.25">
      <c r="A350" s="3">
        <v>44909</v>
      </c>
      <c r="B350" s="12">
        <f>_xlfn.XLOOKUP(Pályák!A350,Mars!A:A,Mars!B:B)</f>
        <v>4</v>
      </c>
      <c r="C350" s="12">
        <f>_xlfn.XLOOKUP(Pályák!A350,Mars!A:A,Mars!C:C)</f>
        <v>47</v>
      </c>
      <c r="D350" s="12">
        <f>_xlfn.XLOOKUP(Pályák!A350,Mars!A:A,Mars!D:D)</f>
        <v>36.42</v>
      </c>
      <c r="E350" s="12" t="str">
        <f>_xlfn.XLOOKUP(Pályák!A350,Mars!A:A,Mars!E:E)&amp;""&amp;_xlfn.XLOOKUP(Pályák!A350,Mars!A:A,Mars!F:F)</f>
        <v>+24</v>
      </c>
      <c r="F350" s="12" t="str">
        <f>_xlfn.XLOOKUP(Pályák!A350,Mars!A:A,Mars!E:E)&amp;""&amp;_xlfn.XLOOKUP(Pályák!A350,Mars!A:A,Mars!G:G)</f>
        <v>+54</v>
      </c>
      <c r="G350" s="12" t="str">
        <f>_xlfn.XLOOKUP(Pályák!A350,Mars!A:A,Mars!E:E)&amp;""&amp;_xlfn.XLOOKUP(Pályák!A350,Mars!A:A,Mars!H:H)</f>
        <v>+10,2</v>
      </c>
    </row>
    <row r="351" spans="1:7" x14ac:dyDescent="0.25">
      <c r="A351" s="3">
        <v>44910</v>
      </c>
      <c r="B351" s="12">
        <f>_xlfn.XLOOKUP(Pályák!A351,Mars!A:A,Mars!B:B)</f>
        <v>4</v>
      </c>
      <c r="C351" s="12">
        <f>_xlfn.XLOOKUP(Pályák!A351,Mars!A:A,Mars!C:C)</f>
        <v>46</v>
      </c>
      <c r="D351" s="12">
        <f>_xlfn.XLOOKUP(Pályák!A351,Mars!A:A,Mars!D:D)</f>
        <v>2.0099999999999998</v>
      </c>
      <c r="E351" s="12" t="str">
        <f>_xlfn.XLOOKUP(Pályák!A351,Mars!A:A,Mars!E:E)&amp;""&amp;_xlfn.XLOOKUP(Pályák!A351,Mars!A:A,Mars!F:F)</f>
        <v>+24</v>
      </c>
      <c r="F351" s="12" t="str">
        <f>_xlfn.XLOOKUP(Pályák!A351,Mars!A:A,Mars!E:E)&amp;""&amp;_xlfn.XLOOKUP(Pályák!A351,Mars!A:A,Mars!G:G)</f>
        <v>+53</v>
      </c>
      <c r="G351" s="12" t="str">
        <f>_xlfn.XLOOKUP(Pályák!A351,Mars!A:A,Mars!E:E)&amp;""&amp;_xlfn.XLOOKUP(Pályák!A351,Mars!A:A,Mars!H:H)</f>
        <v>+14,6</v>
      </c>
    </row>
    <row r="352" spans="1:7" x14ac:dyDescent="0.25">
      <c r="A352" s="3">
        <v>44911</v>
      </c>
      <c r="B352" s="12">
        <f>_xlfn.XLOOKUP(Pályák!A352,Mars!A:A,Mars!B:B)</f>
        <v>4</v>
      </c>
      <c r="C352" s="12">
        <f>_xlfn.XLOOKUP(Pályák!A352,Mars!A:A,Mars!C:C)</f>
        <v>44</v>
      </c>
      <c r="D352" s="12">
        <f>_xlfn.XLOOKUP(Pályák!A352,Mars!A:A,Mars!D:D)</f>
        <v>29.52</v>
      </c>
      <c r="E352" s="12" t="str">
        <f>_xlfn.XLOOKUP(Pályák!A352,Mars!A:A,Mars!E:E)&amp;""&amp;_xlfn.XLOOKUP(Pályák!A352,Mars!A:A,Mars!F:F)</f>
        <v>+24</v>
      </c>
      <c r="F352" s="12" t="str">
        <f>_xlfn.XLOOKUP(Pályák!A352,Mars!A:A,Mars!E:E)&amp;""&amp;_xlfn.XLOOKUP(Pályák!A352,Mars!A:A,Mars!G:G)</f>
        <v>+52</v>
      </c>
      <c r="G352" s="12" t="str">
        <f>_xlfn.XLOOKUP(Pályák!A352,Mars!A:A,Mars!E:E)&amp;""&amp;_xlfn.XLOOKUP(Pályák!A352,Mars!A:A,Mars!H:H)</f>
        <v>+14</v>
      </c>
    </row>
    <row r="353" spans="1:7" x14ac:dyDescent="0.25">
      <c r="A353" s="3">
        <v>44912</v>
      </c>
      <c r="B353" s="12">
        <f>_xlfn.XLOOKUP(Pályák!A353,Mars!A:A,Mars!B:B)</f>
        <v>4</v>
      </c>
      <c r="C353" s="12">
        <f>_xlfn.XLOOKUP(Pályák!A353,Mars!A:A,Mars!C:C)</f>
        <v>42</v>
      </c>
      <c r="D353" s="12">
        <f>_xlfn.XLOOKUP(Pályák!A353,Mars!A:A,Mars!D:D)</f>
        <v>59.14</v>
      </c>
      <c r="E353" s="12" t="str">
        <f>_xlfn.XLOOKUP(Pályák!A353,Mars!A:A,Mars!E:E)&amp;""&amp;_xlfn.XLOOKUP(Pályák!A353,Mars!A:A,Mars!F:F)</f>
        <v>+24</v>
      </c>
      <c r="F353" s="12" t="str">
        <f>_xlfn.XLOOKUP(Pályák!A353,Mars!A:A,Mars!E:E)&amp;""&amp;_xlfn.XLOOKUP(Pályák!A353,Mars!A:A,Mars!G:G)</f>
        <v>+51</v>
      </c>
      <c r="G353" s="12" t="str">
        <f>_xlfn.XLOOKUP(Pályák!A353,Mars!A:A,Mars!E:E)&amp;""&amp;_xlfn.XLOOKUP(Pályák!A353,Mars!A:A,Mars!H:H)</f>
        <v>+8,8</v>
      </c>
    </row>
    <row r="354" spans="1:7" x14ac:dyDescent="0.25">
      <c r="A354" s="3">
        <v>44913</v>
      </c>
      <c r="B354" s="12">
        <f>_xlfn.XLOOKUP(Pályák!A354,Mars!A:A,Mars!B:B)</f>
        <v>4</v>
      </c>
      <c r="C354" s="12">
        <f>_xlfn.XLOOKUP(Pályák!A354,Mars!A:A,Mars!C:C)</f>
        <v>41</v>
      </c>
      <c r="D354" s="12">
        <f>_xlfn.XLOOKUP(Pályák!A354,Mars!A:A,Mars!D:D)</f>
        <v>31.03</v>
      </c>
      <c r="E354" s="12" t="str">
        <f>_xlfn.XLOOKUP(Pályák!A354,Mars!A:A,Mars!E:E)&amp;""&amp;_xlfn.XLOOKUP(Pályák!A354,Mars!A:A,Mars!F:F)</f>
        <v>+24</v>
      </c>
      <c r="F354" s="12" t="str">
        <f>_xlfn.XLOOKUP(Pályák!A354,Mars!A:A,Mars!E:E)&amp;""&amp;_xlfn.XLOOKUP(Pályák!A354,Mars!A:A,Mars!G:G)</f>
        <v>+49</v>
      </c>
      <c r="G354" s="12" t="str">
        <f>_xlfn.XLOOKUP(Pályák!A354,Mars!A:A,Mars!E:E)&amp;""&amp;_xlfn.XLOOKUP(Pályák!A354,Mars!A:A,Mars!H:H)</f>
        <v>+59,6</v>
      </c>
    </row>
    <row r="355" spans="1:7" x14ac:dyDescent="0.25">
      <c r="A355" s="3">
        <v>44914</v>
      </c>
      <c r="B355" s="12">
        <f>_xlfn.XLOOKUP(Pályák!A355,Mars!A:A,Mars!B:B)</f>
        <v>4</v>
      </c>
      <c r="C355" s="12">
        <f>_xlfn.XLOOKUP(Pályák!A355,Mars!A:A,Mars!C:C)</f>
        <v>40</v>
      </c>
      <c r="D355" s="12">
        <f>_xlfn.XLOOKUP(Pályák!A355,Mars!A:A,Mars!D:D)</f>
        <v>5.36</v>
      </c>
      <c r="E355" s="12" t="str">
        <f>_xlfn.XLOOKUP(Pályák!A355,Mars!A:A,Mars!E:E)&amp;""&amp;_xlfn.XLOOKUP(Pályák!A355,Mars!A:A,Mars!F:F)</f>
        <v>+24</v>
      </c>
      <c r="F355" s="12" t="str">
        <f>_xlfn.XLOOKUP(Pályák!A355,Mars!A:A,Mars!E:E)&amp;""&amp;_xlfn.XLOOKUP(Pályák!A355,Mars!A:A,Mars!G:G)</f>
        <v>+48</v>
      </c>
      <c r="G355" s="12" t="str">
        <f>_xlfn.XLOOKUP(Pályák!A355,Mars!A:A,Mars!E:E)&amp;""&amp;_xlfn.XLOOKUP(Pályák!A355,Mars!A:A,Mars!H:H)</f>
        <v>+47,1</v>
      </c>
    </row>
    <row r="356" spans="1:7" x14ac:dyDescent="0.25">
      <c r="A356" s="3">
        <v>44915</v>
      </c>
      <c r="B356" s="12">
        <f>_xlfn.XLOOKUP(Pályák!A356,Mars!A:A,Mars!B:B)</f>
        <v>4</v>
      </c>
      <c r="C356" s="12">
        <f>_xlfn.XLOOKUP(Pályák!A356,Mars!A:A,Mars!C:C)</f>
        <v>38</v>
      </c>
      <c r="D356" s="12">
        <f>_xlfn.XLOOKUP(Pályák!A356,Mars!A:A,Mars!D:D)</f>
        <v>42.28</v>
      </c>
      <c r="E356" s="12" t="str">
        <f>_xlfn.XLOOKUP(Pályák!A356,Mars!A:A,Mars!E:E)&amp;""&amp;_xlfn.XLOOKUP(Pályák!A356,Mars!A:A,Mars!F:F)</f>
        <v>+24</v>
      </c>
      <c r="F356" s="12" t="str">
        <f>_xlfn.XLOOKUP(Pályák!A356,Mars!A:A,Mars!E:E)&amp;""&amp;_xlfn.XLOOKUP(Pályák!A356,Mars!A:A,Mars!G:G)</f>
        <v>+47</v>
      </c>
      <c r="G356" s="12" t="str">
        <f>_xlfn.XLOOKUP(Pályák!A356,Mars!A:A,Mars!E:E)&amp;""&amp;_xlfn.XLOOKUP(Pályák!A356,Mars!A:A,Mars!H:H)</f>
        <v>+31,6</v>
      </c>
    </row>
    <row r="357" spans="1:7" x14ac:dyDescent="0.25">
      <c r="A357" s="3">
        <v>44916</v>
      </c>
      <c r="B357" s="12">
        <f>_xlfn.XLOOKUP(Pályák!A357,Mars!A:A,Mars!B:B)</f>
        <v>4</v>
      </c>
      <c r="C357" s="12">
        <f>_xlfn.XLOOKUP(Pályák!A357,Mars!A:A,Mars!C:C)</f>
        <v>37</v>
      </c>
      <c r="D357" s="12">
        <f>_xlfn.XLOOKUP(Pályák!A357,Mars!A:A,Mars!D:D)</f>
        <v>21.94</v>
      </c>
      <c r="E357" s="12" t="str">
        <f>_xlfn.XLOOKUP(Pályák!A357,Mars!A:A,Mars!E:E)&amp;""&amp;_xlfn.XLOOKUP(Pályák!A357,Mars!A:A,Mars!F:F)</f>
        <v>+24</v>
      </c>
      <c r="F357" s="12" t="str">
        <f>_xlfn.XLOOKUP(Pályák!A357,Mars!A:A,Mars!E:E)&amp;""&amp;_xlfn.XLOOKUP(Pályák!A357,Mars!A:A,Mars!G:G)</f>
        <v>+46</v>
      </c>
      <c r="G357" s="12" t="str">
        <f>_xlfn.XLOOKUP(Pályák!A357,Mars!A:A,Mars!E:E)&amp;""&amp;_xlfn.XLOOKUP(Pályák!A357,Mars!A:A,Mars!H:H)</f>
        <v>+13,9</v>
      </c>
    </row>
    <row r="358" spans="1:7" x14ac:dyDescent="0.25">
      <c r="A358" s="3">
        <v>44917</v>
      </c>
      <c r="B358" s="12">
        <f>_xlfn.XLOOKUP(Pályák!A358,Mars!A:A,Mars!B:B)</f>
        <v>4</v>
      </c>
      <c r="C358" s="12">
        <f>_xlfn.XLOOKUP(Pályák!A358,Mars!A:A,Mars!C:C)</f>
        <v>36</v>
      </c>
      <c r="D358" s="12">
        <f>_xlfn.XLOOKUP(Pályák!A358,Mars!A:A,Mars!D:D)</f>
        <v>4.47</v>
      </c>
      <c r="E358" s="12" t="str">
        <f>_xlfn.XLOOKUP(Pályák!A358,Mars!A:A,Mars!E:E)&amp;""&amp;_xlfn.XLOOKUP(Pályák!A358,Mars!A:A,Mars!F:F)</f>
        <v>+24</v>
      </c>
      <c r="F358" s="12" t="str">
        <f>_xlfn.XLOOKUP(Pályák!A358,Mars!A:A,Mars!E:E)&amp;""&amp;_xlfn.XLOOKUP(Pályák!A358,Mars!A:A,Mars!G:G)</f>
        <v>+44</v>
      </c>
      <c r="G358" s="12" t="str">
        <f>_xlfn.XLOOKUP(Pályák!A358,Mars!A:A,Mars!E:E)&amp;""&amp;_xlfn.XLOOKUP(Pályák!A358,Mars!A:A,Mars!H:H)</f>
        <v>+54,4</v>
      </c>
    </row>
    <row r="359" spans="1:7" x14ac:dyDescent="0.25">
      <c r="A359" s="3">
        <v>44918</v>
      </c>
      <c r="B359" s="12">
        <f>_xlfn.XLOOKUP(Pályák!A359,Mars!A:A,Mars!B:B)</f>
        <v>4</v>
      </c>
      <c r="C359" s="12">
        <f>_xlfn.XLOOKUP(Pályák!A359,Mars!A:A,Mars!C:C)</f>
        <v>34</v>
      </c>
      <c r="D359" s="12">
        <f>_xlfn.XLOOKUP(Pályák!A359,Mars!A:A,Mars!D:D)</f>
        <v>50.01</v>
      </c>
      <c r="E359" s="12" t="str">
        <f>_xlfn.XLOOKUP(Pályák!A359,Mars!A:A,Mars!E:E)&amp;""&amp;_xlfn.XLOOKUP(Pályák!A359,Mars!A:A,Mars!F:F)</f>
        <v>+24</v>
      </c>
      <c r="F359" s="12" t="str">
        <f>_xlfn.XLOOKUP(Pályák!A359,Mars!A:A,Mars!E:E)&amp;""&amp;_xlfn.XLOOKUP(Pályák!A359,Mars!A:A,Mars!G:G)</f>
        <v>+43</v>
      </c>
      <c r="G359" s="12" t="str">
        <f>_xlfn.XLOOKUP(Pályák!A359,Mars!A:A,Mars!E:E)&amp;""&amp;_xlfn.XLOOKUP(Pályák!A359,Mars!A:A,Mars!H:H)</f>
        <v>+33,9</v>
      </c>
    </row>
    <row r="360" spans="1:7" x14ac:dyDescent="0.25">
      <c r="A360" s="3">
        <v>44919</v>
      </c>
      <c r="B360" s="12">
        <f>_xlfn.XLOOKUP(Pályák!A360,Mars!A:A,Mars!B:B)</f>
        <v>4</v>
      </c>
      <c r="C360" s="12">
        <f>_xlfn.XLOOKUP(Pályák!A360,Mars!A:A,Mars!C:C)</f>
        <v>33</v>
      </c>
      <c r="D360" s="12">
        <f>_xlfn.XLOOKUP(Pályák!A360,Mars!A:A,Mars!D:D)</f>
        <v>38.659999999999997</v>
      </c>
      <c r="E360" s="12" t="str">
        <f>_xlfn.XLOOKUP(Pályák!A360,Mars!A:A,Mars!E:E)&amp;""&amp;_xlfn.XLOOKUP(Pályák!A360,Mars!A:A,Mars!F:F)</f>
        <v>+24</v>
      </c>
      <c r="F360" s="12" t="str">
        <f>_xlfn.XLOOKUP(Pályák!A360,Mars!A:A,Mars!E:E)&amp;""&amp;_xlfn.XLOOKUP(Pályák!A360,Mars!A:A,Mars!G:G)</f>
        <v>+42</v>
      </c>
      <c r="G360" s="12" t="str">
        <f>_xlfn.XLOOKUP(Pályák!A360,Mars!A:A,Mars!E:E)&amp;""&amp;_xlfn.XLOOKUP(Pályák!A360,Mars!A:A,Mars!H:H)</f>
        <v>+12,8</v>
      </c>
    </row>
    <row r="361" spans="1:7" x14ac:dyDescent="0.25">
      <c r="A361" s="3">
        <v>44920</v>
      </c>
      <c r="B361" s="12">
        <f>_xlfn.XLOOKUP(Pályák!A361,Mars!A:A,Mars!B:B)</f>
        <v>4</v>
      </c>
      <c r="C361" s="12">
        <f>_xlfn.XLOOKUP(Pályák!A361,Mars!A:A,Mars!C:C)</f>
        <v>32</v>
      </c>
      <c r="D361" s="12">
        <f>_xlfn.XLOOKUP(Pályák!A361,Mars!A:A,Mars!D:D)</f>
        <v>30.54</v>
      </c>
      <c r="E361" s="12" t="str">
        <f>_xlfn.XLOOKUP(Pályák!A361,Mars!A:A,Mars!E:E)&amp;""&amp;_xlfn.XLOOKUP(Pályák!A361,Mars!A:A,Mars!F:F)</f>
        <v>+24</v>
      </c>
      <c r="F361" s="12" t="str">
        <f>_xlfn.XLOOKUP(Pályák!A361,Mars!A:A,Mars!E:E)&amp;""&amp;_xlfn.XLOOKUP(Pályák!A361,Mars!A:A,Mars!G:G)</f>
        <v>+40</v>
      </c>
      <c r="G361" s="12" t="str">
        <f>_xlfn.XLOOKUP(Pályák!A361,Mars!A:A,Mars!E:E)&amp;""&amp;_xlfn.XLOOKUP(Pályák!A361,Mars!A:A,Mars!H:H)</f>
        <v>+51,7</v>
      </c>
    </row>
    <row r="362" spans="1:7" x14ac:dyDescent="0.25">
      <c r="A362" s="3">
        <v>44921</v>
      </c>
      <c r="B362" s="12">
        <f>_xlfn.XLOOKUP(Pályák!A362,Mars!A:A,Mars!B:B)</f>
        <v>4</v>
      </c>
      <c r="C362" s="12">
        <f>_xlfn.XLOOKUP(Pályák!A362,Mars!A:A,Mars!C:C)</f>
        <v>31</v>
      </c>
      <c r="D362" s="12">
        <f>_xlfn.XLOOKUP(Pályák!A362,Mars!A:A,Mars!D:D)</f>
        <v>25.75</v>
      </c>
      <c r="E362" s="12" t="str">
        <f>_xlfn.XLOOKUP(Pályák!A362,Mars!A:A,Mars!E:E)&amp;""&amp;_xlfn.XLOOKUP(Pályák!A362,Mars!A:A,Mars!F:F)</f>
        <v>+24</v>
      </c>
      <c r="F362" s="12" t="str">
        <f>_xlfn.XLOOKUP(Pályák!A362,Mars!A:A,Mars!E:E)&amp;""&amp;_xlfn.XLOOKUP(Pályák!A362,Mars!A:A,Mars!G:G)</f>
        <v>+39</v>
      </c>
      <c r="G362" s="12" t="str">
        <f>_xlfn.XLOOKUP(Pályák!A362,Mars!A:A,Mars!E:E)&amp;""&amp;_xlfn.XLOOKUP(Pályák!A362,Mars!A:A,Mars!H:H)</f>
        <v>+31,3</v>
      </c>
    </row>
    <row r="363" spans="1:7" x14ac:dyDescent="0.25">
      <c r="A363" s="3">
        <v>44922</v>
      </c>
      <c r="B363" s="12">
        <f>_xlfn.XLOOKUP(Pályák!A363,Mars!A:A,Mars!B:B)</f>
        <v>4</v>
      </c>
      <c r="C363" s="12">
        <f>_xlfn.XLOOKUP(Pályák!A363,Mars!A:A,Mars!C:C)</f>
        <v>30</v>
      </c>
      <c r="D363" s="12">
        <f>_xlfn.XLOOKUP(Pályák!A363,Mars!A:A,Mars!D:D)</f>
        <v>24.34</v>
      </c>
      <c r="E363" s="12" t="str">
        <f>_xlfn.XLOOKUP(Pályák!A363,Mars!A:A,Mars!E:E)&amp;""&amp;_xlfn.XLOOKUP(Pályák!A363,Mars!A:A,Mars!F:F)</f>
        <v>+24</v>
      </c>
      <c r="F363" s="12" t="str">
        <f>_xlfn.XLOOKUP(Pályák!A363,Mars!A:A,Mars!E:E)&amp;""&amp;_xlfn.XLOOKUP(Pályák!A363,Mars!A:A,Mars!G:G)</f>
        <v>+38</v>
      </c>
      <c r="G363" s="12" t="str">
        <f>_xlfn.XLOOKUP(Pályák!A363,Mars!A:A,Mars!E:E)&amp;""&amp;_xlfn.XLOOKUP(Pályák!A363,Mars!A:A,Mars!H:H)</f>
        <v>+12</v>
      </c>
    </row>
    <row r="364" spans="1:7" x14ac:dyDescent="0.25">
      <c r="A364" s="3">
        <v>44923</v>
      </c>
      <c r="B364" s="12">
        <f>_xlfn.XLOOKUP(Pályák!A364,Mars!A:A,Mars!B:B)</f>
        <v>4</v>
      </c>
      <c r="C364" s="12">
        <f>_xlfn.XLOOKUP(Pályák!A364,Mars!A:A,Mars!C:C)</f>
        <v>29</v>
      </c>
      <c r="D364" s="12">
        <f>_xlfn.XLOOKUP(Pályák!A364,Mars!A:A,Mars!D:D)</f>
        <v>26.41</v>
      </c>
      <c r="E364" s="12" t="str">
        <f>_xlfn.XLOOKUP(Pályák!A364,Mars!A:A,Mars!E:E)&amp;""&amp;_xlfn.XLOOKUP(Pályák!A364,Mars!A:A,Mars!F:F)</f>
        <v>+24</v>
      </c>
      <c r="F364" s="12" t="str">
        <f>_xlfn.XLOOKUP(Pályák!A364,Mars!A:A,Mars!E:E)&amp;""&amp;_xlfn.XLOOKUP(Pályák!A364,Mars!A:A,Mars!G:G)</f>
        <v>+36</v>
      </c>
      <c r="G364" s="12" t="str">
        <f>_xlfn.XLOOKUP(Pályák!A364,Mars!A:A,Mars!E:E)&amp;""&amp;_xlfn.XLOOKUP(Pályák!A364,Mars!A:A,Mars!H:H)</f>
        <v>+54,2</v>
      </c>
    </row>
    <row r="365" spans="1:7" x14ac:dyDescent="0.25">
      <c r="A365" s="3">
        <v>44924</v>
      </c>
      <c r="B365" s="12">
        <f>_xlfn.XLOOKUP(Pályák!A365,Mars!A:A,Mars!B:B)</f>
        <v>4</v>
      </c>
      <c r="C365" s="12">
        <f>_xlfn.XLOOKUP(Pályák!A365,Mars!A:A,Mars!C:C)</f>
        <v>28</v>
      </c>
      <c r="D365" s="12">
        <f>_xlfn.XLOOKUP(Pályák!A365,Mars!A:A,Mars!D:D)</f>
        <v>31.99</v>
      </c>
      <c r="E365" s="12" t="str">
        <f>_xlfn.XLOOKUP(Pályák!A365,Mars!A:A,Mars!E:E)&amp;""&amp;_xlfn.XLOOKUP(Pályák!A365,Mars!A:A,Mars!F:F)</f>
        <v>+24</v>
      </c>
      <c r="F365" s="12" t="str">
        <f>_xlfn.XLOOKUP(Pályák!A365,Mars!A:A,Mars!E:E)&amp;""&amp;_xlfn.XLOOKUP(Pályák!A365,Mars!A:A,Mars!G:G)</f>
        <v>+35</v>
      </c>
      <c r="G365" s="12" t="str">
        <f>_xlfn.XLOOKUP(Pályák!A365,Mars!A:A,Mars!E:E)&amp;""&amp;_xlfn.XLOOKUP(Pályák!A365,Mars!A:A,Mars!H:H)</f>
        <v>+38,6</v>
      </c>
    </row>
    <row r="366" spans="1:7" x14ac:dyDescent="0.25">
      <c r="A366" s="3">
        <v>44925</v>
      </c>
      <c r="B366" s="12">
        <f>_xlfn.XLOOKUP(Pályák!A366,Mars!A:A,Mars!B:B)</f>
        <v>4</v>
      </c>
      <c r="C366" s="12">
        <f>_xlfn.XLOOKUP(Pályák!A366,Mars!A:A,Mars!C:C)</f>
        <v>27</v>
      </c>
      <c r="D366" s="12">
        <f>_xlfn.XLOOKUP(Pályák!A366,Mars!A:A,Mars!D:D)</f>
        <v>41.14</v>
      </c>
      <c r="E366" s="12" t="str">
        <f>_xlfn.XLOOKUP(Pályák!A366,Mars!A:A,Mars!E:E)&amp;""&amp;_xlfn.XLOOKUP(Pályák!A366,Mars!A:A,Mars!F:F)</f>
        <v>+24</v>
      </c>
      <c r="F366" s="12" t="str">
        <f>_xlfn.XLOOKUP(Pályák!A366,Mars!A:A,Mars!E:E)&amp;""&amp;_xlfn.XLOOKUP(Pályák!A366,Mars!A:A,Mars!G:G)</f>
        <v>+34</v>
      </c>
      <c r="G366" s="12" t="str">
        <f>_xlfn.XLOOKUP(Pályák!A366,Mars!A:A,Mars!E:E)&amp;""&amp;_xlfn.XLOOKUP(Pályák!A366,Mars!A:A,Mars!H:H)</f>
        <v>+25,4</v>
      </c>
    </row>
    <row r="367" spans="1:7" x14ac:dyDescent="0.25">
      <c r="A367" s="3">
        <v>44926</v>
      </c>
      <c r="B367" s="12">
        <f>_xlfn.XLOOKUP(Pályák!A367,Mars!A:A,Mars!B:B)</f>
        <v>4</v>
      </c>
      <c r="C367" s="12">
        <f>_xlfn.XLOOKUP(Pályák!A367,Mars!A:A,Mars!C:C)</f>
        <v>26</v>
      </c>
      <c r="D367" s="12">
        <f>_xlfn.XLOOKUP(Pályák!A367,Mars!A:A,Mars!D:D)</f>
        <v>53.87</v>
      </c>
      <c r="E367" s="12" t="str">
        <f>_xlfn.XLOOKUP(Pályák!A367,Mars!A:A,Mars!E:E)&amp;""&amp;_xlfn.XLOOKUP(Pályák!A367,Mars!A:A,Mars!F:F)</f>
        <v>+24</v>
      </c>
      <c r="F367" s="12" t="str">
        <f>_xlfn.XLOOKUP(Pályák!A367,Mars!A:A,Mars!E:E)&amp;""&amp;_xlfn.XLOOKUP(Pályák!A367,Mars!A:A,Mars!G:G)</f>
        <v>+33</v>
      </c>
      <c r="G367" s="12" t="str">
        <f>_xlfn.XLOOKUP(Pályák!A367,Mars!A:A,Mars!E:E)&amp;""&amp;_xlfn.XLOOKUP(Pályák!A367,Mars!A:A,Mars!H:H)</f>
        <v>+15,2</v>
      </c>
    </row>
  </sheetData>
  <mergeCells count="2">
    <mergeCell ref="B1:I1"/>
    <mergeCell ref="J1:Q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Mars</vt:lpstr>
      <vt:lpstr>Vénusz</vt:lpstr>
      <vt:lpstr>Pályák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2026-02-12T10:48:54Z</dcterms:created>
  <dcterms:modified xsi:type="dcterms:W3CDTF">2026-02-12T13:42:20Z</dcterms:modified>
</cp:coreProperties>
</file>