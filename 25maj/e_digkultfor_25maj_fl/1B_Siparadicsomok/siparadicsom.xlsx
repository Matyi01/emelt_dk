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5maj\e_digkultfor_25maj_fl\1B_Siparadicsomok\"/>
    </mc:Choice>
  </mc:AlternateContent>
  <xr:revisionPtr revIDLastSave="0" documentId="13_ncr:1_{767B2E39-6B8F-4C45-9433-F5269B8AE653}" xr6:coauthVersionLast="47" xr6:coauthVersionMax="47" xr10:uidLastSave="{00000000-0000-0000-0000-000000000000}"/>
  <bookViews>
    <workbookView xWindow="-120" yWindow="-120" windowWidth="29040" windowHeight="15720" activeTab="2" xr2:uid="{DDC0A9EF-AC77-4377-814A-E0DAE12B23EE}"/>
  </bookViews>
  <sheets>
    <sheet name="Alapadatok" sheetId="1" r:id="rId1"/>
    <sheet name="Olaszország" sheetId="2" r:id="rId2"/>
    <sheet name="Halmozott sávdiagram" sheetId="3" r:id="rId3"/>
  </sheets>
  <definedNames>
    <definedName name="_xlnm._FilterDatabase" localSheetId="0" hidden="1">Alapadatok!$A$2:$P$357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" i="1"/>
  <c r="X3" i="2"/>
  <c r="Y3" i="2"/>
  <c r="AB3" i="2" s="1"/>
  <c r="AC3" i="2" s="1"/>
  <c r="Z3" i="2"/>
  <c r="AA3" i="2"/>
  <c r="X4" i="2"/>
  <c r="Y4" i="2"/>
  <c r="Z4" i="2"/>
  <c r="AA4" i="2"/>
  <c r="X5" i="2"/>
  <c r="Y5" i="2"/>
  <c r="Z5" i="2"/>
  <c r="AA5" i="2"/>
  <c r="X6" i="2"/>
  <c r="Y6" i="2"/>
  <c r="Z6" i="2"/>
  <c r="AA6" i="2"/>
  <c r="X7" i="2"/>
  <c r="Y7" i="2"/>
  <c r="AB7" i="2" s="1"/>
  <c r="AC7" i="2" s="1"/>
  <c r="Z7" i="2"/>
  <c r="AA7" i="2"/>
  <c r="X8" i="2"/>
  <c r="Y8" i="2"/>
  <c r="Z8" i="2"/>
  <c r="AA8" i="2"/>
  <c r="X9" i="2"/>
  <c r="Y9" i="2"/>
  <c r="Z9" i="2"/>
  <c r="AA9" i="2"/>
  <c r="X10" i="2"/>
  <c r="Y10" i="2"/>
  <c r="Z10" i="2"/>
  <c r="AA10" i="2"/>
  <c r="X11" i="2"/>
  <c r="Y11" i="2"/>
  <c r="Z11" i="2"/>
  <c r="AA11" i="2"/>
  <c r="X12" i="2"/>
  <c r="Y12" i="2"/>
  <c r="Z12" i="2"/>
  <c r="AA12" i="2"/>
  <c r="X13" i="2"/>
  <c r="Y13" i="2"/>
  <c r="Z13" i="2"/>
  <c r="AA13" i="2"/>
  <c r="X14" i="2"/>
  <c r="Y14" i="2"/>
  <c r="Z14" i="2"/>
  <c r="AA14" i="2"/>
  <c r="X15" i="2"/>
  <c r="Y15" i="2"/>
  <c r="Z15" i="2"/>
  <c r="AA15" i="2"/>
  <c r="X16" i="2"/>
  <c r="Y16" i="2"/>
  <c r="Z16" i="2"/>
  <c r="AA16" i="2"/>
  <c r="X17" i="2"/>
  <c r="Y17" i="2"/>
  <c r="Z17" i="2"/>
  <c r="AA17" i="2"/>
  <c r="X18" i="2"/>
  <c r="Y18" i="2"/>
  <c r="Z18" i="2"/>
  <c r="AA18" i="2"/>
  <c r="X19" i="2"/>
  <c r="Y19" i="2"/>
  <c r="Z19" i="2"/>
  <c r="AA19" i="2"/>
  <c r="X20" i="2"/>
  <c r="Y20" i="2"/>
  <c r="Z20" i="2"/>
  <c r="AA20" i="2"/>
  <c r="X21" i="2"/>
  <c r="Y21" i="2"/>
  <c r="Z21" i="2"/>
  <c r="AA21" i="2"/>
  <c r="X22" i="2"/>
  <c r="Y22" i="2"/>
  <c r="Z22" i="2"/>
  <c r="AA22" i="2"/>
  <c r="X23" i="2"/>
  <c r="Y23" i="2"/>
  <c r="Z23" i="2"/>
  <c r="AA23" i="2"/>
  <c r="X24" i="2"/>
  <c r="Y24" i="2"/>
  <c r="Z24" i="2"/>
  <c r="AA24" i="2"/>
  <c r="X25" i="2"/>
  <c r="Y25" i="2"/>
  <c r="Z25" i="2"/>
  <c r="AA25" i="2"/>
  <c r="X26" i="2"/>
  <c r="Y26" i="2"/>
  <c r="Z26" i="2"/>
  <c r="AA26" i="2"/>
  <c r="X27" i="2"/>
  <c r="Y27" i="2"/>
  <c r="Z27" i="2"/>
  <c r="AA27" i="2"/>
  <c r="X28" i="2"/>
  <c r="Y28" i="2"/>
  <c r="Z28" i="2"/>
  <c r="AA28" i="2"/>
  <c r="X29" i="2"/>
  <c r="Y29" i="2"/>
  <c r="Z29" i="2"/>
  <c r="AA29" i="2"/>
  <c r="X30" i="2"/>
  <c r="Y30" i="2"/>
  <c r="Z30" i="2"/>
  <c r="AA30" i="2"/>
  <c r="X31" i="2"/>
  <c r="Y31" i="2"/>
  <c r="Z31" i="2"/>
  <c r="AA31" i="2"/>
  <c r="X32" i="2"/>
  <c r="Y32" i="2"/>
  <c r="Z32" i="2"/>
  <c r="AA32" i="2"/>
  <c r="X33" i="2"/>
  <c r="AB33" i="2" s="1"/>
  <c r="AC33" i="2" s="1"/>
  <c r="Y33" i="2"/>
  <c r="Z33" i="2"/>
  <c r="AA33" i="2"/>
  <c r="X34" i="2"/>
  <c r="Y34" i="2"/>
  <c r="Z34" i="2"/>
  <c r="AA34" i="2"/>
  <c r="X35" i="2"/>
  <c r="Y35" i="2"/>
  <c r="Z35" i="2"/>
  <c r="AA35" i="2"/>
  <c r="X36" i="2"/>
  <c r="Y36" i="2"/>
  <c r="Z36" i="2"/>
  <c r="AA36" i="2"/>
  <c r="X37" i="2"/>
  <c r="AB37" i="2" s="1"/>
  <c r="AC37" i="2" s="1"/>
  <c r="Y37" i="2"/>
  <c r="Z37" i="2"/>
  <c r="AA37" i="2"/>
  <c r="X38" i="2"/>
  <c r="Y38" i="2"/>
  <c r="Z38" i="2"/>
  <c r="AA38" i="2"/>
  <c r="X39" i="2"/>
  <c r="Y39" i="2"/>
  <c r="Z39" i="2"/>
  <c r="AA39" i="2"/>
  <c r="X40" i="2"/>
  <c r="Y40" i="2"/>
  <c r="Z40" i="2"/>
  <c r="AA40" i="2"/>
  <c r="X41" i="2"/>
  <c r="AB41" i="2" s="1"/>
  <c r="AC41" i="2" s="1"/>
  <c r="Y41" i="2"/>
  <c r="Z41" i="2"/>
  <c r="AA41" i="2"/>
  <c r="X42" i="2"/>
  <c r="Y42" i="2"/>
  <c r="Z42" i="2"/>
  <c r="AA42" i="2"/>
  <c r="X43" i="2"/>
  <c r="Y43" i="2"/>
  <c r="Z43" i="2"/>
  <c r="AA43" i="2"/>
  <c r="X44" i="2"/>
  <c r="Y44" i="2"/>
  <c r="Z44" i="2"/>
  <c r="AA44" i="2"/>
  <c r="X45" i="2"/>
  <c r="AB45" i="2" s="1"/>
  <c r="AC45" i="2" s="1"/>
  <c r="Y45" i="2"/>
  <c r="Z45" i="2"/>
  <c r="AA45" i="2"/>
  <c r="W16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2" i="2"/>
  <c r="AA2" i="2"/>
  <c r="Z2" i="2"/>
  <c r="Y2" i="2"/>
  <c r="X2" i="2"/>
  <c r="T6" i="1"/>
  <c r="T5" i="1"/>
  <c r="S5" i="1" s="1"/>
  <c r="W33" i="1"/>
  <c r="X33" i="1"/>
  <c r="Y33" i="1"/>
  <c r="Z33" i="1"/>
  <c r="W34" i="1"/>
  <c r="X34" i="1"/>
  <c r="AA34" i="1" s="1"/>
  <c r="Y34" i="1"/>
  <c r="Z34" i="1"/>
  <c r="W35" i="1"/>
  <c r="X35" i="1"/>
  <c r="Y35" i="1"/>
  <c r="Z35" i="1"/>
  <c r="W36" i="1"/>
  <c r="X36" i="1"/>
  <c r="Y36" i="1"/>
  <c r="Z36" i="1"/>
  <c r="W37" i="1"/>
  <c r="X37" i="1"/>
  <c r="Y37" i="1"/>
  <c r="Z37" i="1"/>
  <c r="W38" i="1"/>
  <c r="X38" i="1"/>
  <c r="AA38" i="1" s="1"/>
  <c r="Y38" i="1"/>
  <c r="Z38" i="1"/>
  <c r="W39" i="1"/>
  <c r="X39" i="1"/>
  <c r="Y39" i="1"/>
  <c r="Z39" i="1"/>
  <c r="W40" i="1"/>
  <c r="X40" i="1"/>
  <c r="Y40" i="1"/>
  <c r="Z40" i="1"/>
  <c r="W41" i="1"/>
  <c r="X41" i="1"/>
  <c r="Y41" i="1"/>
  <c r="Z41" i="1"/>
  <c r="W42" i="1"/>
  <c r="X42" i="1"/>
  <c r="AA42" i="1" s="1"/>
  <c r="AB42" i="1" s="1"/>
  <c r="Y42" i="1"/>
  <c r="Z42" i="1"/>
  <c r="W43" i="1"/>
  <c r="X43" i="1"/>
  <c r="Y43" i="1"/>
  <c r="Z43" i="1"/>
  <c r="W44" i="1"/>
  <c r="X44" i="1"/>
  <c r="Y44" i="1"/>
  <c r="Z44" i="1"/>
  <c r="W45" i="1"/>
  <c r="X45" i="1"/>
  <c r="Y45" i="1"/>
  <c r="Z45" i="1"/>
  <c r="W46" i="1"/>
  <c r="X46" i="1"/>
  <c r="Y46" i="1"/>
  <c r="Z46" i="1"/>
  <c r="W47" i="1"/>
  <c r="X47" i="1"/>
  <c r="Y47" i="1"/>
  <c r="Z47" i="1"/>
  <c r="W48" i="1"/>
  <c r="X48" i="1"/>
  <c r="Y48" i="1"/>
  <c r="Z48" i="1"/>
  <c r="W49" i="1"/>
  <c r="X49" i="1"/>
  <c r="Y49" i="1"/>
  <c r="Z49" i="1"/>
  <c r="W50" i="1"/>
  <c r="X50" i="1"/>
  <c r="Y50" i="1"/>
  <c r="Z50" i="1"/>
  <c r="W51" i="1"/>
  <c r="X51" i="1"/>
  <c r="Y51" i="1"/>
  <c r="Z51" i="1"/>
  <c r="W52" i="1"/>
  <c r="X52" i="1"/>
  <c r="Y52" i="1"/>
  <c r="Z52" i="1"/>
  <c r="W53" i="1"/>
  <c r="X53" i="1"/>
  <c r="Y53" i="1"/>
  <c r="Z53" i="1"/>
  <c r="W54" i="1"/>
  <c r="X54" i="1"/>
  <c r="Y54" i="1"/>
  <c r="Z54" i="1"/>
  <c r="W55" i="1"/>
  <c r="X55" i="1"/>
  <c r="Y55" i="1"/>
  <c r="Z55" i="1"/>
  <c r="W56" i="1"/>
  <c r="X56" i="1"/>
  <c r="Y56" i="1"/>
  <c r="Z56" i="1"/>
  <c r="W57" i="1"/>
  <c r="X57" i="1"/>
  <c r="Y57" i="1"/>
  <c r="AA57" i="1" s="1"/>
  <c r="Z57" i="1"/>
  <c r="W58" i="1"/>
  <c r="X58" i="1"/>
  <c r="Y58" i="1"/>
  <c r="Z58" i="1"/>
  <c r="W59" i="1"/>
  <c r="X59" i="1"/>
  <c r="Y59" i="1"/>
  <c r="Z59" i="1"/>
  <c r="W60" i="1"/>
  <c r="X60" i="1"/>
  <c r="Y60" i="1"/>
  <c r="Z60" i="1"/>
  <c r="W61" i="1"/>
  <c r="X61" i="1"/>
  <c r="Y61" i="1"/>
  <c r="AA61" i="1" s="1"/>
  <c r="Z61" i="1"/>
  <c r="W62" i="1"/>
  <c r="X62" i="1"/>
  <c r="Y62" i="1"/>
  <c r="Z62" i="1"/>
  <c r="W63" i="1"/>
  <c r="X63" i="1"/>
  <c r="Y63" i="1"/>
  <c r="Z63" i="1"/>
  <c r="W64" i="1"/>
  <c r="X64" i="1"/>
  <c r="Y64" i="1"/>
  <c r="Z64" i="1"/>
  <c r="W65" i="1"/>
  <c r="X65" i="1"/>
  <c r="Y65" i="1"/>
  <c r="Z65" i="1"/>
  <c r="W66" i="1"/>
  <c r="X66" i="1"/>
  <c r="AA66" i="1" s="1"/>
  <c r="AB66" i="1" s="1"/>
  <c r="Y66" i="1"/>
  <c r="Z66" i="1"/>
  <c r="W67" i="1"/>
  <c r="X67" i="1"/>
  <c r="Y67" i="1"/>
  <c r="Z67" i="1"/>
  <c r="W68" i="1"/>
  <c r="X68" i="1"/>
  <c r="Y68" i="1"/>
  <c r="Z68" i="1"/>
  <c r="W69" i="1"/>
  <c r="X69" i="1"/>
  <c r="Y69" i="1"/>
  <c r="Z69" i="1"/>
  <c r="W70" i="1"/>
  <c r="X70" i="1"/>
  <c r="AA70" i="1" s="1"/>
  <c r="AB70" i="1" s="1"/>
  <c r="Y70" i="1"/>
  <c r="Z70" i="1"/>
  <c r="W71" i="1"/>
  <c r="X71" i="1"/>
  <c r="Y71" i="1"/>
  <c r="Z71" i="1"/>
  <c r="W72" i="1"/>
  <c r="X72" i="1"/>
  <c r="Y72" i="1"/>
  <c r="Z72" i="1"/>
  <c r="W73" i="1"/>
  <c r="X73" i="1"/>
  <c r="Y73" i="1"/>
  <c r="Z73" i="1"/>
  <c r="W74" i="1"/>
  <c r="X74" i="1"/>
  <c r="AA74" i="1" s="1"/>
  <c r="AB74" i="1" s="1"/>
  <c r="Y74" i="1"/>
  <c r="Z74" i="1"/>
  <c r="W75" i="1"/>
  <c r="X75" i="1"/>
  <c r="Y75" i="1"/>
  <c r="Z75" i="1"/>
  <c r="W76" i="1"/>
  <c r="X76" i="1"/>
  <c r="Y76" i="1"/>
  <c r="Z76" i="1"/>
  <c r="W77" i="1"/>
  <c r="X77" i="1"/>
  <c r="Y77" i="1"/>
  <c r="Z77" i="1"/>
  <c r="W78" i="1"/>
  <c r="X78" i="1"/>
  <c r="Y78" i="1"/>
  <c r="Z78" i="1"/>
  <c r="W79" i="1"/>
  <c r="X79" i="1"/>
  <c r="Y79" i="1"/>
  <c r="Z79" i="1"/>
  <c r="W80" i="1"/>
  <c r="X80" i="1"/>
  <c r="Y80" i="1"/>
  <c r="Z80" i="1"/>
  <c r="W81" i="1"/>
  <c r="X81" i="1"/>
  <c r="Y81" i="1"/>
  <c r="Z81" i="1"/>
  <c r="W82" i="1"/>
  <c r="X82" i="1"/>
  <c r="Y82" i="1"/>
  <c r="Z82" i="1"/>
  <c r="W83" i="1"/>
  <c r="X83" i="1"/>
  <c r="Y83" i="1"/>
  <c r="Z83" i="1"/>
  <c r="W84" i="1"/>
  <c r="X84" i="1"/>
  <c r="Y84" i="1"/>
  <c r="Z84" i="1"/>
  <c r="W85" i="1"/>
  <c r="X85" i="1"/>
  <c r="Y85" i="1"/>
  <c r="Z85" i="1"/>
  <c r="W86" i="1"/>
  <c r="X86" i="1"/>
  <c r="Y86" i="1"/>
  <c r="Z86" i="1"/>
  <c r="W87" i="1"/>
  <c r="X87" i="1"/>
  <c r="Y87" i="1"/>
  <c r="Z87" i="1"/>
  <c r="W88" i="1"/>
  <c r="X88" i="1"/>
  <c r="Y88" i="1"/>
  <c r="Z88" i="1"/>
  <c r="W89" i="1"/>
  <c r="X89" i="1"/>
  <c r="Y89" i="1"/>
  <c r="Z89" i="1"/>
  <c r="W90" i="1"/>
  <c r="X90" i="1"/>
  <c r="Y90" i="1"/>
  <c r="Z90" i="1"/>
  <c r="W91" i="1"/>
  <c r="X91" i="1"/>
  <c r="Y91" i="1"/>
  <c r="Z91" i="1"/>
  <c r="W92" i="1"/>
  <c r="X92" i="1"/>
  <c r="Y92" i="1"/>
  <c r="Z92" i="1"/>
  <c r="W93" i="1"/>
  <c r="X93" i="1"/>
  <c r="Y93" i="1"/>
  <c r="Z93" i="1"/>
  <c r="W94" i="1"/>
  <c r="X94" i="1"/>
  <c r="Y94" i="1"/>
  <c r="Z94" i="1"/>
  <c r="W95" i="1"/>
  <c r="X95" i="1"/>
  <c r="Y95" i="1"/>
  <c r="Z95" i="1"/>
  <c r="W96" i="1"/>
  <c r="X96" i="1"/>
  <c r="Y96" i="1"/>
  <c r="Z96" i="1"/>
  <c r="W97" i="1"/>
  <c r="X97" i="1"/>
  <c r="Y97" i="1"/>
  <c r="Z97" i="1"/>
  <c r="W98" i="1"/>
  <c r="X98" i="1"/>
  <c r="Y98" i="1"/>
  <c r="Z98" i="1"/>
  <c r="W99" i="1"/>
  <c r="X99" i="1"/>
  <c r="Y99" i="1"/>
  <c r="Z99" i="1"/>
  <c r="W100" i="1"/>
  <c r="X100" i="1"/>
  <c r="Y100" i="1"/>
  <c r="Z100" i="1"/>
  <c r="W101" i="1"/>
  <c r="X101" i="1"/>
  <c r="Y101" i="1"/>
  <c r="Z101" i="1"/>
  <c r="W102" i="1"/>
  <c r="X102" i="1"/>
  <c r="Y102" i="1"/>
  <c r="Z102" i="1"/>
  <c r="W103" i="1"/>
  <c r="X103" i="1"/>
  <c r="Y103" i="1"/>
  <c r="Z103" i="1"/>
  <c r="W104" i="1"/>
  <c r="X104" i="1"/>
  <c r="Y104" i="1"/>
  <c r="Z104" i="1"/>
  <c r="W105" i="1"/>
  <c r="X105" i="1"/>
  <c r="Y105" i="1"/>
  <c r="Z105" i="1"/>
  <c r="W106" i="1"/>
  <c r="X106" i="1"/>
  <c r="Y106" i="1"/>
  <c r="Z106" i="1"/>
  <c r="W107" i="1"/>
  <c r="X107" i="1"/>
  <c r="Y107" i="1"/>
  <c r="Z107" i="1"/>
  <c r="W108" i="1"/>
  <c r="X108" i="1"/>
  <c r="Y108" i="1"/>
  <c r="Z108" i="1"/>
  <c r="W109" i="1"/>
  <c r="X109" i="1"/>
  <c r="Y109" i="1"/>
  <c r="Z109" i="1"/>
  <c r="W110" i="1"/>
  <c r="X110" i="1"/>
  <c r="Y110" i="1"/>
  <c r="Z110" i="1"/>
  <c r="W111" i="1"/>
  <c r="X111" i="1"/>
  <c r="Y111" i="1"/>
  <c r="Z111" i="1"/>
  <c r="W112" i="1"/>
  <c r="AA112" i="1" s="1"/>
  <c r="AB112" i="1" s="1"/>
  <c r="X112" i="1"/>
  <c r="Y112" i="1"/>
  <c r="Z112" i="1"/>
  <c r="W113" i="1"/>
  <c r="X113" i="1"/>
  <c r="Y113" i="1"/>
  <c r="Z113" i="1"/>
  <c r="W114" i="1"/>
  <c r="X114" i="1"/>
  <c r="Y114" i="1"/>
  <c r="Z114" i="1"/>
  <c r="W115" i="1"/>
  <c r="X115" i="1"/>
  <c r="Y115" i="1"/>
  <c r="Z115" i="1"/>
  <c r="W116" i="1"/>
  <c r="AA116" i="1" s="1"/>
  <c r="X116" i="1"/>
  <c r="Y116" i="1"/>
  <c r="Z116" i="1"/>
  <c r="W117" i="1"/>
  <c r="X117" i="1"/>
  <c r="Y117" i="1"/>
  <c r="Z117" i="1"/>
  <c r="W118" i="1"/>
  <c r="X118" i="1"/>
  <c r="Y118" i="1"/>
  <c r="Z118" i="1"/>
  <c r="W119" i="1"/>
  <c r="X119" i="1"/>
  <c r="Y119" i="1"/>
  <c r="Z119" i="1"/>
  <c r="W120" i="1"/>
  <c r="X120" i="1"/>
  <c r="Y120" i="1"/>
  <c r="Z120" i="1"/>
  <c r="W121" i="1"/>
  <c r="X121" i="1"/>
  <c r="Y121" i="1"/>
  <c r="Z121" i="1"/>
  <c r="W122" i="1"/>
  <c r="X122" i="1"/>
  <c r="Y122" i="1"/>
  <c r="Z122" i="1"/>
  <c r="W123" i="1"/>
  <c r="X123" i="1"/>
  <c r="Y123" i="1"/>
  <c r="Z123" i="1"/>
  <c r="W124" i="1"/>
  <c r="X124" i="1"/>
  <c r="Y124" i="1"/>
  <c r="Z124" i="1"/>
  <c r="W125" i="1"/>
  <c r="X125" i="1"/>
  <c r="Y125" i="1"/>
  <c r="Z125" i="1"/>
  <c r="W126" i="1"/>
  <c r="X126" i="1"/>
  <c r="Y126" i="1"/>
  <c r="Z126" i="1"/>
  <c r="W127" i="1"/>
  <c r="X127" i="1"/>
  <c r="Y127" i="1"/>
  <c r="Z127" i="1"/>
  <c r="W128" i="1"/>
  <c r="X128" i="1"/>
  <c r="Y128" i="1"/>
  <c r="Z128" i="1"/>
  <c r="W129" i="1"/>
  <c r="X129" i="1"/>
  <c r="Y129" i="1"/>
  <c r="Z129" i="1"/>
  <c r="W130" i="1"/>
  <c r="X130" i="1"/>
  <c r="Y130" i="1"/>
  <c r="Z130" i="1"/>
  <c r="W131" i="1"/>
  <c r="X131" i="1"/>
  <c r="Y131" i="1"/>
  <c r="Z131" i="1"/>
  <c r="W132" i="1"/>
  <c r="X132" i="1"/>
  <c r="Y132" i="1"/>
  <c r="Z132" i="1"/>
  <c r="W133" i="1"/>
  <c r="X133" i="1"/>
  <c r="Y133" i="1"/>
  <c r="Z133" i="1"/>
  <c r="W134" i="1"/>
  <c r="X134" i="1"/>
  <c r="Y134" i="1"/>
  <c r="Z134" i="1"/>
  <c r="W135" i="1"/>
  <c r="X135" i="1"/>
  <c r="Y135" i="1"/>
  <c r="Z135" i="1"/>
  <c r="W136" i="1"/>
  <c r="X136" i="1"/>
  <c r="Y136" i="1"/>
  <c r="Z136" i="1"/>
  <c r="W137" i="1"/>
  <c r="X137" i="1"/>
  <c r="Y137" i="1"/>
  <c r="Z137" i="1"/>
  <c r="W138" i="1"/>
  <c r="X138" i="1"/>
  <c r="Y138" i="1"/>
  <c r="Z138" i="1"/>
  <c r="W139" i="1"/>
  <c r="X139" i="1"/>
  <c r="Y139" i="1"/>
  <c r="Z139" i="1"/>
  <c r="W140" i="1"/>
  <c r="X140" i="1"/>
  <c r="Y140" i="1"/>
  <c r="Z140" i="1"/>
  <c r="W141" i="1"/>
  <c r="X141" i="1"/>
  <c r="Y141" i="1"/>
  <c r="Z141" i="1"/>
  <c r="W142" i="1"/>
  <c r="X142" i="1"/>
  <c r="Y142" i="1"/>
  <c r="Z142" i="1"/>
  <c r="W143" i="1"/>
  <c r="X143" i="1"/>
  <c r="Y143" i="1"/>
  <c r="Z143" i="1"/>
  <c r="W144" i="1"/>
  <c r="AA144" i="1" s="1"/>
  <c r="AB144" i="1" s="1"/>
  <c r="X144" i="1"/>
  <c r="Y144" i="1"/>
  <c r="Z144" i="1"/>
  <c r="W145" i="1"/>
  <c r="X145" i="1"/>
  <c r="Y145" i="1"/>
  <c r="Z145" i="1"/>
  <c r="W146" i="1"/>
  <c r="X146" i="1"/>
  <c r="Y146" i="1"/>
  <c r="Z146" i="1"/>
  <c r="W147" i="1"/>
  <c r="X147" i="1"/>
  <c r="Y147" i="1"/>
  <c r="Z147" i="1"/>
  <c r="W148" i="1"/>
  <c r="AA148" i="1" s="1"/>
  <c r="X148" i="1"/>
  <c r="Y148" i="1"/>
  <c r="Z148" i="1"/>
  <c r="W149" i="1"/>
  <c r="X149" i="1"/>
  <c r="Y149" i="1"/>
  <c r="Z149" i="1"/>
  <c r="W150" i="1"/>
  <c r="X150" i="1"/>
  <c r="Y150" i="1"/>
  <c r="Z150" i="1"/>
  <c r="W151" i="1"/>
  <c r="X151" i="1"/>
  <c r="Y151" i="1"/>
  <c r="Z151" i="1"/>
  <c r="W152" i="1"/>
  <c r="X152" i="1"/>
  <c r="Y152" i="1"/>
  <c r="Z152" i="1"/>
  <c r="W153" i="1"/>
  <c r="X153" i="1"/>
  <c r="Y153" i="1"/>
  <c r="Z153" i="1"/>
  <c r="W154" i="1"/>
  <c r="X154" i="1"/>
  <c r="Y154" i="1"/>
  <c r="Z154" i="1"/>
  <c r="W155" i="1"/>
  <c r="X155" i="1"/>
  <c r="Y155" i="1"/>
  <c r="Z155" i="1"/>
  <c r="W156" i="1"/>
  <c r="X156" i="1"/>
  <c r="Y156" i="1"/>
  <c r="Z156" i="1"/>
  <c r="W157" i="1"/>
  <c r="X157" i="1"/>
  <c r="Y157" i="1"/>
  <c r="Z157" i="1"/>
  <c r="W158" i="1"/>
  <c r="X158" i="1"/>
  <c r="Y158" i="1"/>
  <c r="Z158" i="1"/>
  <c r="W159" i="1"/>
  <c r="X159" i="1"/>
  <c r="Y159" i="1"/>
  <c r="Z159" i="1"/>
  <c r="W160" i="1"/>
  <c r="X160" i="1"/>
  <c r="Y160" i="1"/>
  <c r="Z160" i="1"/>
  <c r="W161" i="1"/>
  <c r="X161" i="1"/>
  <c r="Y161" i="1"/>
  <c r="Z161" i="1"/>
  <c r="W162" i="1"/>
  <c r="X162" i="1"/>
  <c r="Y162" i="1"/>
  <c r="Z162" i="1"/>
  <c r="W163" i="1"/>
  <c r="X163" i="1"/>
  <c r="Y163" i="1"/>
  <c r="Z163" i="1"/>
  <c r="W164" i="1"/>
  <c r="X164" i="1"/>
  <c r="Y164" i="1"/>
  <c r="Z164" i="1"/>
  <c r="W165" i="1"/>
  <c r="X165" i="1"/>
  <c r="Y165" i="1"/>
  <c r="Z165" i="1"/>
  <c r="W166" i="1"/>
  <c r="X166" i="1"/>
  <c r="Y166" i="1"/>
  <c r="Z166" i="1"/>
  <c r="W167" i="1"/>
  <c r="X167" i="1"/>
  <c r="Y167" i="1"/>
  <c r="Z167" i="1"/>
  <c r="W168" i="1"/>
  <c r="X168" i="1"/>
  <c r="Y168" i="1"/>
  <c r="Z168" i="1"/>
  <c r="W169" i="1"/>
  <c r="X169" i="1"/>
  <c r="Y169" i="1"/>
  <c r="Z169" i="1"/>
  <c r="W170" i="1"/>
  <c r="X170" i="1"/>
  <c r="Y170" i="1"/>
  <c r="Z170" i="1"/>
  <c r="W171" i="1"/>
  <c r="X171" i="1"/>
  <c r="Y171" i="1"/>
  <c r="Z171" i="1"/>
  <c r="W172" i="1"/>
  <c r="X172" i="1"/>
  <c r="Y172" i="1"/>
  <c r="Z172" i="1"/>
  <c r="W173" i="1"/>
  <c r="X173" i="1"/>
  <c r="Y173" i="1"/>
  <c r="Z173" i="1"/>
  <c r="W174" i="1"/>
  <c r="X174" i="1"/>
  <c r="Y174" i="1"/>
  <c r="Z174" i="1"/>
  <c r="W175" i="1"/>
  <c r="X175" i="1"/>
  <c r="Y175" i="1"/>
  <c r="Z175" i="1"/>
  <c r="W176" i="1"/>
  <c r="AA176" i="1" s="1"/>
  <c r="AB176" i="1" s="1"/>
  <c r="X176" i="1"/>
  <c r="Y176" i="1"/>
  <c r="Z176" i="1"/>
  <c r="W177" i="1"/>
  <c r="X177" i="1"/>
  <c r="Y177" i="1"/>
  <c r="Z177" i="1"/>
  <c r="W178" i="1"/>
  <c r="X178" i="1"/>
  <c r="Y178" i="1"/>
  <c r="Z178" i="1"/>
  <c r="W179" i="1"/>
  <c r="X179" i="1"/>
  <c r="Y179" i="1"/>
  <c r="Z179" i="1"/>
  <c r="W180" i="1"/>
  <c r="AA180" i="1" s="1"/>
  <c r="X180" i="1"/>
  <c r="Y180" i="1"/>
  <c r="Z180" i="1"/>
  <c r="W181" i="1"/>
  <c r="X181" i="1"/>
  <c r="Y181" i="1"/>
  <c r="Z181" i="1"/>
  <c r="W182" i="1"/>
  <c r="X182" i="1"/>
  <c r="Y182" i="1"/>
  <c r="Z182" i="1"/>
  <c r="W183" i="1"/>
  <c r="X183" i="1"/>
  <c r="Y183" i="1"/>
  <c r="Z183" i="1"/>
  <c r="W184" i="1"/>
  <c r="X184" i="1"/>
  <c r="Y184" i="1"/>
  <c r="Z184" i="1"/>
  <c r="W185" i="1"/>
  <c r="X185" i="1"/>
  <c r="Y185" i="1"/>
  <c r="Z185" i="1"/>
  <c r="W186" i="1"/>
  <c r="X186" i="1"/>
  <c r="Y186" i="1"/>
  <c r="Z186" i="1"/>
  <c r="W187" i="1"/>
  <c r="X187" i="1"/>
  <c r="Y187" i="1"/>
  <c r="Z187" i="1"/>
  <c r="W188" i="1"/>
  <c r="X188" i="1"/>
  <c r="Y188" i="1"/>
  <c r="Z188" i="1"/>
  <c r="W189" i="1"/>
  <c r="X189" i="1"/>
  <c r="Y189" i="1"/>
  <c r="Z189" i="1"/>
  <c r="W190" i="1"/>
  <c r="X190" i="1"/>
  <c r="Y190" i="1"/>
  <c r="Z190" i="1"/>
  <c r="W191" i="1"/>
  <c r="X191" i="1"/>
  <c r="Y191" i="1"/>
  <c r="Z191" i="1"/>
  <c r="W192" i="1"/>
  <c r="AA192" i="1" s="1"/>
  <c r="AB192" i="1" s="1"/>
  <c r="X192" i="1"/>
  <c r="Y192" i="1"/>
  <c r="Z192" i="1"/>
  <c r="W193" i="1"/>
  <c r="X193" i="1"/>
  <c r="Y193" i="1"/>
  <c r="Z193" i="1"/>
  <c r="W194" i="1"/>
  <c r="X194" i="1"/>
  <c r="Y194" i="1"/>
  <c r="Z194" i="1"/>
  <c r="W195" i="1"/>
  <c r="X195" i="1"/>
  <c r="Y195" i="1"/>
  <c r="Z195" i="1"/>
  <c r="W196" i="1"/>
  <c r="X196" i="1"/>
  <c r="Y196" i="1"/>
  <c r="Z196" i="1"/>
  <c r="W197" i="1"/>
  <c r="X197" i="1"/>
  <c r="Y197" i="1"/>
  <c r="Z197" i="1"/>
  <c r="W198" i="1"/>
  <c r="X198" i="1"/>
  <c r="Y198" i="1"/>
  <c r="Z198" i="1"/>
  <c r="W199" i="1"/>
  <c r="X199" i="1"/>
  <c r="Y199" i="1"/>
  <c r="Z199" i="1"/>
  <c r="W200" i="1"/>
  <c r="X200" i="1"/>
  <c r="Y200" i="1"/>
  <c r="Z200" i="1"/>
  <c r="W201" i="1"/>
  <c r="X201" i="1"/>
  <c r="Y201" i="1"/>
  <c r="Z201" i="1"/>
  <c r="W202" i="1"/>
  <c r="X202" i="1"/>
  <c r="Y202" i="1"/>
  <c r="Z202" i="1"/>
  <c r="W203" i="1"/>
  <c r="X203" i="1"/>
  <c r="Y203" i="1"/>
  <c r="Z203" i="1"/>
  <c r="W204" i="1"/>
  <c r="X204" i="1"/>
  <c r="Y204" i="1"/>
  <c r="Z204" i="1"/>
  <c r="W205" i="1"/>
  <c r="X205" i="1"/>
  <c r="Y205" i="1"/>
  <c r="Z205" i="1"/>
  <c r="W206" i="1"/>
  <c r="X206" i="1"/>
  <c r="Y206" i="1"/>
  <c r="Z206" i="1"/>
  <c r="W207" i="1"/>
  <c r="X207" i="1"/>
  <c r="Y207" i="1"/>
  <c r="Z207" i="1"/>
  <c r="W208" i="1"/>
  <c r="AA208" i="1" s="1"/>
  <c r="AB208" i="1" s="1"/>
  <c r="X208" i="1"/>
  <c r="Y208" i="1"/>
  <c r="Z208" i="1"/>
  <c r="W209" i="1"/>
  <c r="X209" i="1"/>
  <c r="Y209" i="1"/>
  <c r="Z209" i="1"/>
  <c r="W210" i="1"/>
  <c r="X210" i="1"/>
  <c r="Y210" i="1"/>
  <c r="Z210" i="1"/>
  <c r="W211" i="1"/>
  <c r="X211" i="1"/>
  <c r="Y211" i="1"/>
  <c r="Z211" i="1"/>
  <c r="W212" i="1"/>
  <c r="AA212" i="1" s="1"/>
  <c r="AB212" i="1" s="1"/>
  <c r="X212" i="1"/>
  <c r="Y212" i="1"/>
  <c r="Z212" i="1"/>
  <c r="W213" i="1"/>
  <c r="X213" i="1"/>
  <c r="Y213" i="1"/>
  <c r="Z213" i="1"/>
  <c r="W214" i="1"/>
  <c r="X214" i="1"/>
  <c r="Y214" i="1"/>
  <c r="Z214" i="1"/>
  <c r="W215" i="1"/>
  <c r="X215" i="1"/>
  <c r="Y215" i="1"/>
  <c r="Z215" i="1"/>
  <c r="W216" i="1"/>
  <c r="X216" i="1"/>
  <c r="Y216" i="1"/>
  <c r="Z216" i="1"/>
  <c r="W217" i="1"/>
  <c r="X217" i="1"/>
  <c r="Y217" i="1"/>
  <c r="Z217" i="1"/>
  <c r="W218" i="1"/>
  <c r="X218" i="1"/>
  <c r="Y218" i="1"/>
  <c r="Z218" i="1"/>
  <c r="W219" i="1"/>
  <c r="X219" i="1"/>
  <c r="Y219" i="1"/>
  <c r="Z219" i="1"/>
  <c r="W220" i="1"/>
  <c r="X220" i="1"/>
  <c r="Y220" i="1"/>
  <c r="Z220" i="1"/>
  <c r="W221" i="1"/>
  <c r="X221" i="1"/>
  <c r="Y221" i="1"/>
  <c r="Z221" i="1"/>
  <c r="W222" i="1"/>
  <c r="X222" i="1"/>
  <c r="Y222" i="1"/>
  <c r="Z222" i="1"/>
  <c r="W223" i="1"/>
  <c r="X223" i="1"/>
  <c r="Y223" i="1"/>
  <c r="Z223" i="1"/>
  <c r="W224" i="1"/>
  <c r="X224" i="1"/>
  <c r="Y224" i="1"/>
  <c r="Z224" i="1"/>
  <c r="W225" i="1"/>
  <c r="X225" i="1"/>
  <c r="Y225" i="1"/>
  <c r="Z225" i="1"/>
  <c r="W226" i="1"/>
  <c r="X226" i="1"/>
  <c r="Y226" i="1"/>
  <c r="Z226" i="1"/>
  <c r="W227" i="1"/>
  <c r="X227" i="1"/>
  <c r="Y227" i="1"/>
  <c r="Z227" i="1"/>
  <c r="W228" i="1"/>
  <c r="X228" i="1"/>
  <c r="Y228" i="1"/>
  <c r="Z228" i="1"/>
  <c r="W229" i="1"/>
  <c r="X229" i="1"/>
  <c r="Y229" i="1"/>
  <c r="Z229" i="1"/>
  <c r="W230" i="1"/>
  <c r="X230" i="1"/>
  <c r="Y230" i="1"/>
  <c r="Z230" i="1"/>
  <c r="W231" i="1"/>
  <c r="X231" i="1"/>
  <c r="Y231" i="1"/>
  <c r="Z231" i="1"/>
  <c r="W232" i="1"/>
  <c r="X232" i="1"/>
  <c r="Y232" i="1"/>
  <c r="Z232" i="1"/>
  <c r="W233" i="1"/>
  <c r="X233" i="1"/>
  <c r="Y233" i="1"/>
  <c r="Z233" i="1"/>
  <c r="W234" i="1"/>
  <c r="X234" i="1"/>
  <c r="Y234" i="1"/>
  <c r="Z234" i="1"/>
  <c r="W235" i="1"/>
  <c r="X235" i="1"/>
  <c r="Y235" i="1"/>
  <c r="Z235" i="1"/>
  <c r="W236" i="1"/>
  <c r="X236" i="1"/>
  <c r="Y236" i="1"/>
  <c r="Z236" i="1"/>
  <c r="W237" i="1"/>
  <c r="X237" i="1"/>
  <c r="Y237" i="1"/>
  <c r="Z237" i="1"/>
  <c r="W238" i="1"/>
  <c r="X238" i="1"/>
  <c r="Y238" i="1"/>
  <c r="Z238" i="1"/>
  <c r="W239" i="1"/>
  <c r="X239" i="1"/>
  <c r="Y239" i="1"/>
  <c r="Z239" i="1"/>
  <c r="W240" i="1"/>
  <c r="AA240" i="1" s="1"/>
  <c r="AB240" i="1" s="1"/>
  <c r="X240" i="1"/>
  <c r="Y240" i="1"/>
  <c r="Z240" i="1"/>
  <c r="W241" i="1"/>
  <c r="X241" i="1"/>
  <c r="Y241" i="1"/>
  <c r="Z241" i="1"/>
  <c r="W242" i="1"/>
  <c r="X242" i="1"/>
  <c r="Y242" i="1"/>
  <c r="Z242" i="1"/>
  <c r="W243" i="1"/>
  <c r="X243" i="1"/>
  <c r="Y243" i="1"/>
  <c r="Z243" i="1"/>
  <c r="W244" i="1"/>
  <c r="AA244" i="1" s="1"/>
  <c r="X244" i="1"/>
  <c r="Y244" i="1"/>
  <c r="Z244" i="1"/>
  <c r="W245" i="1"/>
  <c r="X245" i="1"/>
  <c r="Y245" i="1"/>
  <c r="Z245" i="1"/>
  <c r="W246" i="1"/>
  <c r="X246" i="1"/>
  <c r="Y246" i="1"/>
  <c r="Z246" i="1"/>
  <c r="W247" i="1"/>
  <c r="X247" i="1"/>
  <c r="Y247" i="1"/>
  <c r="Z247" i="1"/>
  <c r="W248" i="1"/>
  <c r="X248" i="1"/>
  <c r="Y248" i="1"/>
  <c r="Z248" i="1"/>
  <c r="W249" i="1"/>
  <c r="X249" i="1"/>
  <c r="Y249" i="1"/>
  <c r="AA249" i="1" s="1"/>
  <c r="Z249" i="1"/>
  <c r="W250" i="1"/>
  <c r="X250" i="1"/>
  <c r="Y250" i="1"/>
  <c r="Z250" i="1"/>
  <c r="W251" i="1"/>
  <c r="X251" i="1"/>
  <c r="Y251" i="1"/>
  <c r="Z251" i="1"/>
  <c r="W252" i="1"/>
  <c r="X252" i="1"/>
  <c r="Y252" i="1"/>
  <c r="Z252" i="1"/>
  <c r="W253" i="1"/>
  <c r="X253" i="1"/>
  <c r="Y253" i="1"/>
  <c r="AA253" i="1" s="1"/>
  <c r="Z253" i="1"/>
  <c r="W254" i="1"/>
  <c r="X254" i="1"/>
  <c r="Y254" i="1"/>
  <c r="Z254" i="1"/>
  <c r="W255" i="1"/>
  <c r="X255" i="1"/>
  <c r="Y255" i="1"/>
  <c r="Z255" i="1"/>
  <c r="W256" i="1"/>
  <c r="X256" i="1"/>
  <c r="Y256" i="1"/>
  <c r="Z256" i="1"/>
  <c r="W257" i="1"/>
  <c r="X257" i="1"/>
  <c r="Y257" i="1"/>
  <c r="Z257" i="1"/>
  <c r="W258" i="1"/>
  <c r="X258" i="1"/>
  <c r="Y258" i="1"/>
  <c r="Z258" i="1"/>
  <c r="W259" i="1"/>
  <c r="X259" i="1"/>
  <c r="Y259" i="1"/>
  <c r="Z259" i="1"/>
  <c r="W260" i="1"/>
  <c r="X260" i="1"/>
  <c r="Y260" i="1"/>
  <c r="Z260" i="1"/>
  <c r="W261" i="1"/>
  <c r="X261" i="1"/>
  <c r="Y261" i="1"/>
  <c r="Z261" i="1"/>
  <c r="W262" i="1"/>
  <c r="X262" i="1"/>
  <c r="Y262" i="1"/>
  <c r="Z262" i="1"/>
  <c r="W263" i="1"/>
  <c r="X263" i="1"/>
  <c r="Y263" i="1"/>
  <c r="Z263" i="1"/>
  <c r="W264" i="1"/>
  <c r="X264" i="1"/>
  <c r="Y264" i="1"/>
  <c r="Z264" i="1"/>
  <c r="W265" i="1"/>
  <c r="X265" i="1"/>
  <c r="Y265" i="1"/>
  <c r="Z265" i="1"/>
  <c r="W266" i="1"/>
  <c r="X266" i="1"/>
  <c r="Y266" i="1"/>
  <c r="Z266" i="1"/>
  <c r="W267" i="1"/>
  <c r="X267" i="1"/>
  <c r="Y267" i="1"/>
  <c r="Z267" i="1"/>
  <c r="W268" i="1"/>
  <c r="X268" i="1"/>
  <c r="Y268" i="1"/>
  <c r="Z268" i="1"/>
  <c r="W269" i="1"/>
  <c r="X269" i="1"/>
  <c r="Y269" i="1"/>
  <c r="Z269" i="1"/>
  <c r="W270" i="1"/>
  <c r="X270" i="1"/>
  <c r="Y270" i="1"/>
  <c r="Z270" i="1"/>
  <c r="W271" i="1"/>
  <c r="X271" i="1"/>
  <c r="Y271" i="1"/>
  <c r="Z271" i="1"/>
  <c r="W272" i="1"/>
  <c r="AA272" i="1" s="1"/>
  <c r="AB272" i="1" s="1"/>
  <c r="X272" i="1"/>
  <c r="Y272" i="1"/>
  <c r="Z272" i="1"/>
  <c r="W273" i="1"/>
  <c r="X273" i="1"/>
  <c r="Y273" i="1"/>
  <c r="Z273" i="1"/>
  <c r="W274" i="1"/>
  <c r="X274" i="1"/>
  <c r="Y274" i="1"/>
  <c r="Z274" i="1"/>
  <c r="W275" i="1"/>
  <c r="X275" i="1"/>
  <c r="Y275" i="1"/>
  <c r="Z275" i="1"/>
  <c r="W276" i="1"/>
  <c r="AA276" i="1" s="1"/>
  <c r="AB276" i="1" s="1"/>
  <c r="X276" i="1"/>
  <c r="Y276" i="1"/>
  <c r="Z276" i="1"/>
  <c r="W277" i="1"/>
  <c r="X277" i="1"/>
  <c r="Y277" i="1"/>
  <c r="Z277" i="1"/>
  <c r="W278" i="1"/>
  <c r="X278" i="1"/>
  <c r="Y278" i="1"/>
  <c r="Z278" i="1"/>
  <c r="W279" i="1"/>
  <c r="X279" i="1"/>
  <c r="Y279" i="1"/>
  <c r="Z279" i="1"/>
  <c r="W280" i="1"/>
  <c r="X280" i="1"/>
  <c r="Y280" i="1"/>
  <c r="Z280" i="1"/>
  <c r="W281" i="1"/>
  <c r="X281" i="1"/>
  <c r="Y281" i="1"/>
  <c r="Z281" i="1"/>
  <c r="W282" i="1"/>
  <c r="X282" i="1"/>
  <c r="Y282" i="1"/>
  <c r="Z282" i="1"/>
  <c r="W283" i="1"/>
  <c r="X283" i="1"/>
  <c r="Y283" i="1"/>
  <c r="Z283" i="1"/>
  <c r="W284" i="1"/>
  <c r="X284" i="1"/>
  <c r="Y284" i="1"/>
  <c r="Z284" i="1"/>
  <c r="W285" i="1"/>
  <c r="X285" i="1"/>
  <c r="Y285" i="1"/>
  <c r="Z285" i="1"/>
  <c r="W286" i="1"/>
  <c r="X286" i="1"/>
  <c r="Y286" i="1"/>
  <c r="Z286" i="1"/>
  <c r="W287" i="1"/>
  <c r="X287" i="1"/>
  <c r="Y287" i="1"/>
  <c r="Z287" i="1"/>
  <c r="W288" i="1"/>
  <c r="X288" i="1"/>
  <c r="Y288" i="1"/>
  <c r="Z288" i="1"/>
  <c r="W289" i="1"/>
  <c r="X289" i="1"/>
  <c r="Y289" i="1"/>
  <c r="Z289" i="1"/>
  <c r="W290" i="1"/>
  <c r="X290" i="1"/>
  <c r="Y290" i="1"/>
  <c r="Z290" i="1"/>
  <c r="W291" i="1"/>
  <c r="X291" i="1"/>
  <c r="Y291" i="1"/>
  <c r="Z291" i="1"/>
  <c r="W292" i="1"/>
  <c r="X292" i="1"/>
  <c r="Y292" i="1"/>
  <c r="Z292" i="1"/>
  <c r="W293" i="1"/>
  <c r="X293" i="1"/>
  <c r="Y293" i="1"/>
  <c r="Z293" i="1"/>
  <c r="W294" i="1"/>
  <c r="X294" i="1"/>
  <c r="Y294" i="1"/>
  <c r="Z294" i="1"/>
  <c r="W295" i="1"/>
  <c r="X295" i="1"/>
  <c r="Y295" i="1"/>
  <c r="Z295" i="1"/>
  <c r="W296" i="1"/>
  <c r="X296" i="1"/>
  <c r="Y296" i="1"/>
  <c r="Z296" i="1"/>
  <c r="W297" i="1"/>
  <c r="X297" i="1"/>
  <c r="Y297" i="1"/>
  <c r="Z297" i="1"/>
  <c r="W298" i="1"/>
  <c r="X298" i="1"/>
  <c r="Y298" i="1"/>
  <c r="Z298" i="1"/>
  <c r="W299" i="1"/>
  <c r="X299" i="1"/>
  <c r="Y299" i="1"/>
  <c r="Z299" i="1"/>
  <c r="W300" i="1"/>
  <c r="X300" i="1"/>
  <c r="Y300" i="1"/>
  <c r="Z300" i="1"/>
  <c r="W301" i="1"/>
  <c r="X301" i="1"/>
  <c r="Y301" i="1"/>
  <c r="Z301" i="1"/>
  <c r="W302" i="1"/>
  <c r="X302" i="1"/>
  <c r="Y302" i="1"/>
  <c r="Z302" i="1"/>
  <c r="W303" i="1"/>
  <c r="X303" i="1"/>
  <c r="Y303" i="1"/>
  <c r="Z303" i="1"/>
  <c r="W304" i="1"/>
  <c r="AA304" i="1" s="1"/>
  <c r="AB304" i="1" s="1"/>
  <c r="X304" i="1"/>
  <c r="Y304" i="1"/>
  <c r="Z304" i="1"/>
  <c r="W305" i="1"/>
  <c r="X305" i="1"/>
  <c r="Y305" i="1"/>
  <c r="Z305" i="1"/>
  <c r="W306" i="1"/>
  <c r="X306" i="1"/>
  <c r="Y306" i="1"/>
  <c r="Z306" i="1"/>
  <c r="W307" i="1"/>
  <c r="X307" i="1"/>
  <c r="Y307" i="1"/>
  <c r="Z307" i="1"/>
  <c r="W308" i="1"/>
  <c r="AA308" i="1" s="1"/>
  <c r="X308" i="1"/>
  <c r="Y308" i="1"/>
  <c r="Z308" i="1"/>
  <c r="W309" i="1"/>
  <c r="X309" i="1"/>
  <c r="Y309" i="1"/>
  <c r="Z309" i="1"/>
  <c r="W310" i="1"/>
  <c r="X310" i="1"/>
  <c r="Y310" i="1"/>
  <c r="Z310" i="1"/>
  <c r="W311" i="1"/>
  <c r="X311" i="1"/>
  <c r="Y311" i="1"/>
  <c r="Z311" i="1"/>
  <c r="W312" i="1"/>
  <c r="X312" i="1"/>
  <c r="Y312" i="1"/>
  <c r="Z312" i="1"/>
  <c r="W313" i="1"/>
  <c r="X313" i="1"/>
  <c r="Y313" i="1"/>
  <c r="Z313" i="1"/>
  <c r="W314" i="1"/>
  <c r="X314" i="1"/>
  <c r="Y314" i="1"/>
  <c r="Z314" i="1"/>
  <c r="W315" i="1"/>
  <c r="X315" i="1"/>
  <c r="Y315" i="1"/>
  <c r="Z315" i="1"/>
  <c r="W316" i="1"/>
  <c r="X316" i="1"/>
  <c r="Y316" i="1"/>
  <c r="Z316" i="1"/>
  <c r="W317" i="1"/>
  <c r="X317" i="1"/>
  <c r="Y317" i="1"/>
  <c r="Z317" i="1"/>
  <c r="W318" i="1"/>
  <c r="X318" i="1"/>
  <c r="Y318" i="1"/>
  <c r="Z318" i="1"/>
  <c r="W319" i="1"/>
  <c r="X319" i="1"/>
  <c r="Y319" i="1"/>
  <c r="Z319" i="1"/>
  <c r="W320" i="1"/>
  <c r="X320" i="1"/>
  <c r="Y320" i="1"/>
  <c r="Z320" i="1"/>
  <c r="W321" i="1"/>
  <c r="X321" i="1"/>
  <c r="Y321" i="1"/>
  <c r="Z321" i="1"/>
  <c r="W322" i="1"/>
  <c r="X322" i="1"/>
  <c r="Y322" i="1"/>
  <c r="Z322" i="1"/>
  <c r="W323" i="1"/>
  <c r="X323" i="1"/>
  <c r="Y323" i="1"/>
  <c r="Z323" i="1"/>
  <c r="W324" i="1"/>
  <c r="X324" i="1"/>
  <c r="Y324" i="1"/>
  <c r="Z324" i="1"/>
  <c r="W325" i="1"/>
  <c r="X325" i="1"/>
  <c r="Y325" i="1"/>
  <c r="Z325" i="1"/>
  <c r="W326" i="1"/>
  <c r="X326" i="1"/>
  <c r="Y326" i="1"/>
  <c r="Z326" i="1"/>
  <c r="W327" i="1"/>
  <c r="X327" i="1"/>
  <c r="Y327" i="1"/>
  <c r="Z327" i="1"/>
  <c r="W328" i="1"/>
  <c r="X328" i="1"/>
  <c r="Y328" i="1"/>
  <c r="Z328" i="1"/>
  <c r="W329" i="1"/>
  <c r="X329" i="1"/>
  <c r="Y329" i="1"/>
  <c r="Z329" i="1"/>
  <c r="W330" i="1"/>
  <c r="X330" i="1"/>
  <c r="Y330" i="1"/>
  <c r="Z330" i="1"/>
  <c r="W331" i="1"/>
  <c r="X331" i="1"/>
  <c r="Y331" i="1"/>
  <c r="Z331" i="1"/>
  <c r="W332" i="1"/>
  <c r="X332" i="1"/>
  <c r="Y332" i="1"/>
  <c r="Z332" i="1"/>
  <c r="W333" i="1"/>
  <c r="X333" i="1"/>
  <c r="Y333" i="1"/>
  <c r="Z333" i="1"/>
  <c r="W334" i="1"/>
  <c r="AA334" i="1" s="1"/>
  <c r="X334" i="1"/>
  <c r="Y334" i="1"/>
  <c r="Z334" i="1"/>
  <c r="W335" i="1"/>
  <c r="X335" i="1"/>
  <c r="Y335" i="1"/>
  <c r="Z335" i="1"/>
  <c r="W336" i="1"/>
  <c r="AA336" i="1" s="1"/>
  <c r="AB336" i="1" s="1"/>
  <c r="X336" i="1"/>
  <c r="Y336" i="1"/>
  <c r="Z336" i="1"/>
  <c r="W337" i="1"/>
  <c r="X337" i="1"/>
  <c r="Y337" i="1"/>
  <c r="Z337" i="1"/>
  <c r="W338" i="1"/>
  <c r="X338" i="1"/>
  <c r="Y338" i="1"/>
  <c r="Z338" i="1"/>
  <c r="W339" i="1"/>
  <c r="X339" i="1"/>
  <c r="Y339" i="1"/>
  <c r="Z339" i="1"/>
  <c r="W340" i="1"/>
  <c r="X340" i="1"/>
  <c r="Y340" i="1"/>
  <c r="Z340" i="1"/>
  <c r="W341" i="1"/>
  <c r="X341" i="1"/>
  <c r="Y341" i="1"/>
  <c r="Z341" i="1"/>
  <c r="W342" i="1"/>
  <c r="X342" i="1"/>
  <c r="Y342" i="1"/>
  <c r="Z342" i="1"/>
  <c r="W343" i="1"/>
  <c r="X343" i="1"/>
  <c r="Y343" i="1"/>
  <c r="Z343" i="1"/>
  <c r="W344" i="1"/>
  <c r="X344" i="1"/>
  <c r="Y344" i="1"/>
  <c r="Z344" i="1"/>
  <c r="W345" i="1"/>
  <c r="X345" i="1"/>
  <c r="Y345" i="1"/>
  <c r="Z345" i="1"/>
  <c r="W346" i="1"/>
  <c r="X346" i="1"/>
  <c r="Y346" i="1"/>
  <c r="Z346" i="1"/>
  <c r="W347" i="1"/>
  <c r="X347" i="1"/>
  <c r="Y347" i="1"/>
  <c r="Z347" i="1"/>
  <c r="W348" i="1"/>
  <c r="X348" i="1"/>
  <c r="Y348" i="1"/>
  <c r="Z348" i="1"/>
  <c r="W349" i="1"/>
  <c r="X349" i="1"/>
  <c r="Y349" i="1"/>
  <c r="Z349" i="1"/>
  <c r="W350" i="1"/>
  <c r="X350" i="1"/>
  <c r="Y350" i="1"/>
  <c r="Z350" i="1"/>
  <c r="W351" i="1"/>
  <c r="X351" i="1"/>
  <c r="Y351" i="1"/>
  <c r="Z351" i="1"/>
  <c r="W352" i="1"/>
  <c r="X352" i="1"/>
  <c r="Y352" i="1"/>
  <c r="Z352" i="1"/>
  <c r="W353" i="1"/>
  <c r="X353" i="1"/>
  <c r="Y353" i="1"/>
  <c r="Z353" i="1"/>
  <c r="W354" i="1"/>
  <c r="X354" i="1"/>
  <c r="Y354" i="1"/>
  <c r="Z354" i="1"/>
  <c r="W355" i="1"/>
  <c r="X355" i="1"/>
  <c r="Y355" i="1"/>
  <c r="Z355" i="1"/>
  <c r="W356" i="1"/>
  <c r="X356" i="1"/>
  <c r="Y356" i="1"/>
  <c r="Z356" i="1"/>
  <c r="W357" i="1"/>
  <c r="X357" i="1"/>
  <c r="Y357" i="1"/>
  <c r="Z357" i="1"/>
  <c r="W3" i="1"/>
  <c r="X3" i="1"/>
  <c r="Y3" i="1"/>
  <c r="Z3" i="1"/>
  <c r="W4" i="1"/>
  <c r="X4" i="1"/>
  <c r="Y4" i="1"/>
  <c r="Z4" i="1"/>
  <c r="W5" i="1"/>
  <c r="X5" i="1"/>
  <c r="Y5" i="1"/>
  <c r="Z5" i="1"/>
  <c r="W6" i="1"/>
  <c r="X6" i="1"/>
  <c r="Y6" i="1"/>
  <c r="Z6" i="1"/>
  <c r="W7" i="1"/>
  <c r="X7" i="1"/>
  <c r="Y7" i="1"/>
  <c r="Z7" i="1"/>
  <c r="W8" i="1"/>
  <c r="AA8" i="1" s="1"/>
  <c r="X8" i="1"/>
  <c r="Y8" i="1"/>
  <c r="Z8" i="1"/>
  <c r="W9" i="1"/>
  <c r="X9" i="1"/>
  <c r="Y9" i="1"/>
  <c r="Z9" i="1"/>
  <c r="W19" i="1"/>
  <c r="X19" i="1"/>
  <c r="Y19" i="1"/>
  <c r="Z19" i="1"/>
  <c r="AA19" i="1" s="1"/>
  <c r="W20" i="1"/>
  <c r="X20" i="1"/>
  <c r="Y20" i="1"/>
  <c r="Z20" i="1"/>
  <c r="W21" i="1"/>
  <c r="X21" i="1"/>
  <c r="Y21" i="1"/>
  <c r="Z21" i="1"/>
  <c r="W22" i="1"/>
  <c r="X22" i="1"/>
  <c r="Y22" i="1"/>
  <c r="Z22" i="1"/>
  <c r="W23" i="1"/>
  <c r="X23" i="1"/>
  <c r="Y23" i="1"/>
  <c r="Z23" i="1"/>
  <c r="AA23" i="1" s="1"/>
  <c r="AB23" i="1" s="1"/>
  <c r="W24" i="1"/>
  <c r="X24" i="1"/>
  <c r="Y24" i="1"/>
  <c r="Z24" i="1"/>
  <c r="W25" i="1"/>
  <c r="X25" i="1"/>
  <c r="Y25" i="1"/>
  <c r="Z25" i="1"/>
  <c r="W26" i="1"/>
  <c r="X26" i="1"/>
  <c r="Y26" i="1"/>
  <c r="Z26" i="1"/>
  <c r="W27" i="1"/>
  <c r="X27" i="1"/>
  <c r="Y27" i="1"/>
  <c r="Z27" i="1"/>
  <c r="W28" i="1"/>
  <c r="X28" i="1"/>
  <c r="Y28" i="1"/>
  <c r="Z28" i="1"/>
  <c r="W29" i="1"/>
  <c r="X29" i="1"/>
  <c r="Y29" i="1"/>
  <c r="Z29" i="1"/>
  <c r="W30" i="1"/>
  <c r="AA30" i="1" s="1"/>
  <c r="X30" i="1"/>
  <c r="Y30" i="1"/>
  <c r="Z30" i="1"/>
  <c r="W31" i="1"/>
  <c r="X31" i="1"/>
  <c r="Y31" i="1"/>
  <c r="Z31" i="1"/>
  <c r="W32" i="1"/>
  <c r="X32" i="1"/>
  <c r="Y32" i="1"/>
  <c r="Z32" i="1"/>
  <c r="W10" i="1"/>
  <c r="X10" i="1"/>
  <c r="Y10" i="1"/>
  <c r="Z10" i="1"/>
  <c r="W11" i="1"/>
  <c r="X11" i="1"/>
  <c r="Y11" i="1"/>
  <c r="Z11" i="1"/>
  <c r="W12" i="1"/>
  <c r="X12" i="1"/>
  <c r="Y12" i="1"/>
  <c r="Z12" i="1"/>
  <c r="W13" i="1"/>
  <c r="X13" i="1"/>
  <c r="Y13" i="1"/>
  <c r="Z13" i="1"/>
  <c r="W14" i="1"/>
  <c r="X14" i="1"/>
  <c r="Y14" i="1"/>
  <c r="Z14" i="1"/>
  <c r="W15" i="1"/>
  <c r="X15" i="1"/>
  <c r="Y15" i="1"/>
  <c r="Z15" i="1"/>
  <c r="W16" i="1"/>
  <c r="X16" i="1"/>
  <c r="Y16" i="1"/>
  <c r="Z16" i="1"/>
  <c r="W17" i="1"/>
  <c r="X17" i="1"/>
  <c r="Y17" i="1"/>
  <c r="Z17" i="1"/>
  <c r="W18" i="1"/>
  <c r="X18" i="1"/>
  <c r="Y18" i="1"/>
  <c r="Z18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9" i="1"/>
  <c r="N10" i="1"/>
  <c r="N11" i="1"/>
  <c r="N12" i="1"/>
  <c r="N13" i="1"/>
  <c r="N14" i="1"/>
  <c r="N15" i="1"/>
  <c r="N16" i="1"/>
  <c r="N17" i="1"/>
  <c r="N4" i="1"/>
  <c r="N5" i="1"/>
  <c r="N6" i="1"/>
  <c r="N7" i="1"/>
  <c r="N8" i="1"/>
  <c r="N3" i="1"/>
  <c r="G43" i="1"/>
  <c r="G46" i="1"/>
  <c r="G78" i="1"/>
  <c r="G99" i="1"/>
  <c r="G102" i="1"/>
  <c r="G120" i="1"/>
  <c r="G123" i="1"/>
  <c r="G142" i="1"/>
  <c r="G163" i="1"/>
  <c r="G166" i="1"/>
  <c r="G184" i="1"/>
  <c r="G187" i="1"/>
  <c r="G206" i="1"/>
  <c r="G227" i="1"/>
  <c r="G230" i="1"/>
  <c r="G248" i="1"/>
  <c r="G251" i="1"/>
  <c r="G270" i="1"/>
  <c r="G291" i="1"/>
  <c r="G294" i="1"/>
  <c r="G312" i="1"/>
  <c r="G315" i="1"/>
  <c r="G334" i="1"/>
  <c r="G355" i="1"/>
  <c r="G19" i="1"/>
  <c r="G22" i="1"/>
  <c r="F5" i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G18" i="1" s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G80" i="1" s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G144" i="1" s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G208" i="1" s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G272" i="1" s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G336" i="1" s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" i="1"/>
  <c r="D4" i="1"/>
  <c r="G4" i="1" s="1"/>
  <c r="D5" i="1"/>
  <c r="G5" i="1" s="1"/>
  <c r="D6" i="1"/>
  <c r="G6" i="1" s="1"/>
  <c r="D7" i="1"/>
  <c r="D8" i="1"/>
  <c r="D9" i="1"/>
  <c r="G9" i="1" s="1"/>
  <c r="D10" i="1"/>
  <c r="D11" i="1"/>
  <c r="G11" i="1" s="1"/>
  <c r="D12" i="1"/>
  <c r="G12" i="1" s="1"/>
  <c r="D13" i="1"/>
  <c r="G13" i="1" s="1"/>
  <c r="D14" i="1"/>
  <c r="G14" i="1" s="1"/>
  <c r="D15" i="1"/>
  <c r="D16" i="1"/>
  <c r="D17" i="1"/>
  <c r="G17" i="1" s="1"/>
  <c r="D18" i="1"/>
  <c r="D19" i="1"/>
  <c r="D20" i="1"/>
  <c r="G20" i="1" s="1"/>
  <c r="D21" i="1"/>
  <c r="G21" i="1" s="1"/>
  <c r="D22" i="1"/>
  <c r="D23" i="1"/>
  <c r="D24" i="1"/>
  <c r="D25" i="1"/>
  <c r="G25" i="1" s="1"/>
  <c r="D26" i="1"/>
  <c r="D27" i="1"/>
  <c r="G27" i="1" s="1"/>
  <c r="D28" i="1"/>
  <c r="G28" i="1" s="1"/>
  <c r="D29" i="1"/>
  <c r="G29" i="1" s="1"/>
  <c r="D30" i="1"/>
  <c r="D31" i="1"/>
  <c r="D32" i="1"/>
  <c r="D33" i="1"/>
  <c r="G33" i="1" s="1"/>
  <c r="D34" i="1"/>
  <c r="D35" i="1"/>
  <c r="G35" i="1" s="1"/>
  <c r="D36" i="1"/>
  <c r="G36" i="1" s="1"/>
  <c r="D37" i="1"/>
  <c r="G37" i="1" s="1"/>
  <c r="D38" i="1"/>
  <c r="G38" i="1" s="1"/>
  <c r="D39" i="1"/>
  <c r="D40" i="1"/>
  <c r="D41" i="1"/>
  <c r="G41" i="1" s="1"/>
  <c r="D42" i="1"/>
  <c r="D43" i="1"/>
  <c r="D44" i="1"/>
  <c r="D45" i="1"/>
  <c r="G45" i="1" s="1"/>
  <c r="D46" i="1"/>
  <c r="D47" i="1"/>
  <c r="D48" i="1"/>
  <c r="D49" i="1"/>
  <c r="G49" i="1" s="1"/>
  <c r="D50" i="1"/>
  <c r="D51" i="1"/>
  <c r="G51" i="1" s="1"/>
  <c r="D52" i="1"/>
  <c r="G52" i="1" s="1"/>
  <c r="D53" i="1"/>
  <c r="G53" i="1" s="1"/>
  <c r="D54" i="1"/>
  <c r="D55" i="1"/>
  <c r="D56" i="1"/>
  <c r="D57" i="1"/>
  <c r="G57" i="1" s="1"/>
  <c r="D58" i="1"/>
  <c r="D59" i="1"/>
  <c r="G59" i="1" s="1"/>
  <c r="D60" i="1"/>
  <c r="G60" i="1" s="1"/>
  <c r="D61" i="1"/>
  <c r="G61" i="1" s="1"/>
  <c r="D62" i="1"/>
  <c r="D63" i="1"/>
  <c r="D64" i="1"/>
  <c r="D65" i="1"/>
  <c r="G65" i="1" s="1"/>
  <c r="D66" i="1"/>
  <c r="D67" i="1"/>
  <c r="G67" i="1" s="1"/>
  <c r="D68" i="1"/>
  <c r="G68" i="1" s="1"/>
  <c r="D69" i="1"/>
  <c r="G69" i="1" s="1"/>
  <c r="D70" i="1"/>
  <c r="G70" i="1" s="1"/>
  <c r="D71" i="1"/>
  <c r="D72" i="1"/>
  <c r="D73" i="1"/>
  <c r="G73" i="1" s="1"/>
  <c r="D74" i="1"/>
  <c r="D75" i="1"/>
  <c r="G75" i="1" s="1"/>
  <c r="D76" i="1"/>
  <c r="D77" i="1"/>
  <c r="G77" i="1" s="1"/>
  <c r="D78" i="1"/>
  <c r="D79" i="1"/>
  <c r="D80" i="1"/>
  <c r="D81" i="1"/>
  <c r="G81" i="1" s="1"/>
  <c r="D82" i="1"/>
  <c r="D83" i="1"/>
  <c r="G83" i="1" s="1"/>
  <c r="D84" i="1"/>
  <c r="D85" i="1"/>
  <c r="G85" i="1" s="1"/>
  <c r="D86" i="1"/>
  <c r="G86" i="1" s="1"/>
  <c r="D87" i="1"/>
  <c r="D88" i="1"/>
  <c r="G88" i="1" s="1"/>
  <c r="D89" i="1"/>
  <c r="G89" i="1" s="1"/>
  <c r="D90" i="1"/>
  <c r="D91" i="1"/>
  <c r="G91" i="1" s="1"/>
  <c r="D92" i="1"/>
  <c r="D93" i="1"/>
  <c r="G93" i="1" s="1"/>
  <c r="D94" i="1"/>
  <c r="G94" i="1" s="1"/>
  <c r="D95" i="1"/>
  <c r="D96" i="1"/>
  <c r="G96" i="1" s="1"/>
  <c r="D97" i="1"/>
  <c r="G97" i="1" s="1"/>
  <c r="D98" i="1"/>
  <c r="D99" i="1"/>
  <c r="D100" i="1"/>
  <c r="D101" i="1"/>
  <c r="G101" i="1" s="1"/>
  <c r="D102" i="1"/>
  <c r="D103" i="1"/>
  <c r="D104" i="1"/>
  <c r="G104" i="1" s="1"/>
  <c r="D105" i="1"/>
  <c r="G105" i="1" s="1"/>
  <c r="D106" i="1"/>
  <c r="D107" i="1"/>
  <c r="G107" i="1" s="1"/>
  <c r="D108" i="1"/>
  <c r="D109" i="1"/>
  <c r="G109" i="1" s="1"/>
  <c r="D110" i="1"/>
  <c r="G110" i="1" s="1"/>
  <c r="D111" i="1"/>
  <c r="D112" i="1"/>
  <c r="G112" i="1" s="1"/>
  <c r="D113" i="1"/>
  <c r="G113" i="1" s="1"/>
  <c r="D114" i="1"/>
  <c r="D115" i="1"/>
  <c r="G115" i="1" s="1"/>
  <c r="D116" i="1"/>
  <c r="D117" i="1"/>
  <c r="G117" i="1" s="1"/>
  <c r="D118" i="1"/>
  <c r="G118" i="1" s="1"/>
  <c r="D119" i="1"/>
  <c r="D120" i="1"/>
  <c r="D121" i="1"/>
  <c r="G121" i="1" s="1"/>
  <c r="D122" i="1"/>
  <c r="D123" i="1"/>
  <c r="D124" i="1"/>
  <c r="D125" i="1"/>
  <c r="G125" i="1" s="1"/>
  <c r="D126" i="1"/>
  <c r="G126" i="1" s="1"/>
  <c r="D127" i="1"/>
  <c r="D128" i="1"/>
  <c r="G128" i="1" s="1"/>
  <c r="D129" i="1"/>
  <c r="G129" i="1" s="1"/>
  <c r="D130" i="1"/>
  <c r="D131" i="1"/>
  <c r="G131" i="1" s="1"/>
  <c r="D132" i="1"/>
  <c r="D133" i="1"/>
  <c r="G133" i="1" s="1"/>
  <c r="D134" i="1"/>
  <c r="G134" i="1" s="1"/>
  <c r="D135" i="1"/>
  <c r="D136" i="1"/>
  <c r="G136" i="1" s="1"/>
  <c r="D137" i="1"/>
  <c r="G137" i="1" s="1"/>
  <c r="D138" i="1"/>
  <c r="D139" i="1"/>
  <c r="G139" i="1" s="1"/>
  <c r="D140" i="1"/>
  <c r="D141" i="1"/>
  <c r="G141" i="1" s="1"/>
  <c r="D142" i="1"/>
  <c r="D143" i="1"/>
  <c r="D144" i="1"/>
  <c r="D145" i="1"/>
  <c r="G145" i="1" s="1"/>
  <c r="D146" i="1"/>
  <c r="D147" i="1"/>
  <c r="G147" i="1" s="1"/>
  <c r="D148" i="1"/>
  <c r="D149" i="1"/>
  <c r="G149" i="1" s="1"/>
  <c r="D150" i="1"/>
  <c r="G150" i="1" s="1"/>
  <c r="D151" i="1"/>
  <c r="D152" i="1"/>
  <c r="G152" i="1" s="1"/>
  <c r="D153" i="1"/>
  <c r="G153" i="1" s="1"/>
  <c r="D154" i="1"/>
  <c r="D155" i="1"/>
  <c r="G155" i="1" s="1"/>
  <c r="D156" i="1"/>
  <c r="D157" i="1"/>
  <c r="G157" i="1" s="1"/>
  <c r="D158" i="1"/>
  <c r="G158" i="1" s="1"/>
  <c r="D159" i="1"/>
  <c r="D160" i="1"/>
  <c r="G160" i="1" s="1"/>
  <c r="D161" i="1"/>
  <c r="G161" i="1" s="1"/>
  <c r="D162" i="1"/>
  <c r="D163" i="1"/>
  <c r="D164" i="1"/>
  <c r="D165" i="1"/>
  <c r="G165" i="1" s="1"/>
  <c r="D166" i="1"/>
  <c r="D167" i="1"/>
  <c r="D168" i="1"/>
  <c r="G168" i="1" s="1"/>
  <c r="D169" i="1"/>
  <c r="G169" i="1" s="1"/>
  <c r="D170" i="1"/>
  <c r="D171" i="1"/>
  <c r="G171" i="1" s="1"/>
  <c r="D172" i="1"/>
  <c r="D173" i="1"/>
  <c r="G173" i="1" s="1"/>
  <c r="D174" i="1"/>
  <c r="G174" i="1" s="1"/>
  <c r="D175" i="1"/>
  <c r="D176" i="1"/>
  <c r="G176" i="1" s="1"/>
  <c r="D177" i="1"/>
  <c r="G177" i="1" s="1"/>
  <c r="D178" i="1"/>
  <c r="D179" i="1"/>
  <c r="G179" i="1" s="1"/>
  <c r="D180" i="1"/>
  <c r="D181" i="1"/>
  <c r="G181" i="1" s="1"/>
  <c r="D182" i="1"/>
  <c r="G182" i="1" s="1"/>
  <c r="D183" i="1"/>
  <c r="D184" i="1"/>
  <c r="D185" i="1"/>
  <c r="G185" i="1" s="1"/>
  <c r="D186" i="1"/>
  <c r="G186" i="1" s="1"/>
  <c r="D187" i="1"/>
  <c r="D188" i="1"/>
  <c r="D189" i="1"/>
  <c r="G189" i="1" s="1"/>
  <c r="D190" i="1"/>
  <c r="G190" i="1" s="1"/>
  <c r="D191" i="1"/>
  <c r="D192" i="1"/>
  <c r="G192" i="1" s="1"/>
  <c r="D193" i="1"/>
  <c r="G193" i="1" s="1"/>
  <c r="D194" i="1"/>
  <c r="G194" i="1" s="1"/>
  <c r="D195" i="1"/>
  <c r="G195" i="1" s="1"/>
  <c r="D196" i="1"/>
  <c r="D197" i="1"/>
  <c r="G197" i="1" s="1"/>
  <c r="D198" i="1"/>
  <c r="G198" i="1" s="1"/>
  <c r="D199" i="1"/>
  <c r="D200" i="1"/>
  <c r="G200" i="1" s="1"/>
  <c r="D201" i="1"/>
  <c r="G201" i="1" s="1"/>
  <c r="D202" i="1"/>
  <c r="G202" i="1" s="1"/>
  <c r="D203" i="1"/>
  <c r="G203" i="1" s="1"/>
  <c r="D204" i="1"/>
  <c r="D205" i="1"/>
  <c r="G205" i="1" s="1"/>
  <c r="D206" i="1"/>
  <c r="D207" i="1"/>
  <c r="D208" i="1"/>
  <c r="D209" i="1"/>
  <c r="G209" i="1" s="1"/>
  <c r="D210" i="1"/>
  <c r="G210" i="1" s="1"/>
  <c r="D211" i="1"/>
  <c r="G211" i="1" s="1"/>
  <c r="D212" i="1"/>
  <c r="D213" i="1"/>
  <c r="G213" i="1" s="1"/>
  <c r="D214" i="1"/>
  <c r="G214" i="1" s="1"/>
  <c r="D215" i="1"/>
  <c r="D216" i="1"/>
  <c r="G216" i="1" s="1"/>
  <c r="D217" i="1"/>
  <c r="G217" i="1" s="1"/>
  <c r="D218" i="1"/>
  <c r="G218" i="1" s="1"/>
  <c r="D219" i="1"/>
  <c r="G219" i="1" s="1"/>
  <c r="D220" i="1"/>
  <c r="D221" i="1"/>
  <c r="G221" i="1" s="1"/>
  <c r="D222" i="1"/>
  <c r="G222" i="1" s="1"/>
  <c r="D223" i="1"/>
  <c r="D224" i="1"/>
  <c r="G224" i="1" s="1"/>
  <c r="D225" i="1"/>
  <c r="G225" i="1" s="1"/>
  <c r="D226" i="1"/>
  <c r="G226" i="1" s="1"/>
  <c r="D227" i="1"/>
  <c r="D228" i="1"/>
  <c r="D229" i="1"/>
  <c r="G229" i="1" s="1"/>
  <c r="D230" i="1"/>
  <c r="D231" i="1"/>
  <c r="D232" i="1"/>
  <c r="G232" i="1" s="1"/>
  <c r="D233" i="1"/>
  <c r="G233" i="1" s="1"/>
  <c r="D234" i="1"/>
  <c r="G234" i="1" s="1"/>
  <c r="D235" i="1"/>
  <c r="G235" i="1" s="1"/>
  <c r="D236" i="1"/>
  <c r="D237" i="1"/>
  <c r="G237" i="1" s="1"/>
  <c r="D238" i="1"/>
  <c r="G238" i="1" s="1"/>
  <c r="D239" i="1"/>
  <c r="D240" i="1"/>
  <c r="G240" i="1" s="1"/>
  <c r="D241" i="1"/>
  <c r="G241" i="1" s="1"/>
  <c r="D242" i="1"/>
  <c r="G242" i="1" s="1"/>
  <c r="D243" i="1"/>
  <c r="G243" i="1" s="1"/>
  <c r="D244" i="1"/>
  <c r="D245" i="1"/>
  <c r="G245" i="1" s="1"/>
  <c r="D246" i="1"/>
  <c r="G246" i="1" s="1"/>
  <c r="D247" i="1"/>
  <c r="D248" i="1"/>
  <c r="D249" i="1"/>
  <c r="G249" i="1" s="1"/>
  <c r="D250" i="1"/>
  <c r="G250" i="1" s="1"/>
  <c r="D251" i="1"/>
  <c r="D252" i="1"/>
  <c r="D253" i="1"/>
  <c r="G253" i="1" s="1"/>
  <c r="D254" i="1"/>
  <c r="G254" i="1" s="1"/>
  <c r="D255" i="1"/>
  <c r="D256" i="1"/>
  <c r="G256" i="1" s="1"/>
  <c r="D257" i="1"/>
  <c r="G257" i="1" s="1"/>
  <c r="D258" i="1"/>
  <c r="G258" i="1" s="1"/>
  <c r="D259" i="1"/>
  <c r="G259" i="1" s="1"/>
  <c r="D260" i="1"/>
  <c r="D261" i="1"/>
  <c r="G261" i="1" s="1"/>
  <c r="D262" i="1"/>
  <c r="G262" i="1" s="1"/>
  <c r="D263" i="1"/>
  <c r="D264" i="1"/>
  <c r="G264" i="1" s="1"/>
  <c r="D265" i="1"/>
  <c r="G265" i="1" s="1"/>
  <c r="D266" i="1"/>
  <c r="G266" i="1" s="1"/>
  <c r="D267" i="1"/>
  <c r="G267" i="1" s="1"/>
  <c r="D268" i="1"/>
  <c r="D269" i="1"/>
  <c r="G269" i="1" s="1"/>
  <c r="D270" i="1"/>
  <c r="D271" i="1"/>
  <c r="D272" i="1"/>
  <c r="D273" i="1"/>
  <c r="G273" i="1" s="1"/>
  <c r="D274" i="1"/>
  <c r="G274" i="1" s="1"/>
  <c r="D275" i="1"/>
  <c r="G275" i="1" s="1"/>
  <c r="D276" i="1"/>
  <c r="D277" i="1"/>
  <c r="G277" i="1" s="1"/>
  <c r="D278" i="1"/>
  <c r="G278" i="1" s="1"/>
  <c r="D279" i="1"/>
  <c r="D280" i="1"/>
  <c r="G280" i="1" s="1"/>
  <c r="D281" i="1"/>
  <c r="G281" i="1" s="1"/>
  <c r="D282" i="1"/>
  <c r="G282" i="1" s="1"/>
  <c r="D283" i="1"/>
  <c r="G283" i="1" s="1"/>
  <c r="D284" i="1"/>
  <c r="D285" i="1"/>
  <c r="G285" i="1" s="1"/>
  <c r="D286" i="1"/>
  <c r="G286" i="1" s="1"/>
  <c r="D287" i="1"/>
  <c r="D288" i="1"/>
  <c r="G288" i="1" s="1"/>
  <c r="D289" i="1"/>
  <c r="G289" i="1" s="1"/>
  <c r="D290" i="1"/>
  <c r="G290" i="1" s="1"/>
  <c r="D291" i="1"/>
  <c r="D292" i="1"/>
  <c r="D293" i="1"/>
  <c r="G293" i="1" s="1"/>
  <c r="D294" i="1"/>
  <c r="D295" i="1"/>
  <c r="D296" i="1"/>
  <c r="G296" i="1" s="1"/>
  <c r="D297" i="1"/>
  <c r="G297" i="1" s="1"/>
  <c r="D298" i="1"/>
  <c r="G298" i="1" s="1"/>
  <c r="D299" i="1"/>
  <c r="G299" i="1" s="1"/>
  <c r="D300" i="1"/>
  <c r="D301" i="1"/>
  <c r="G301" i="1" s="1"/>
  <c r="D302" i="1"/>
  <c r="G302" i="1" s="1"/>
  <c r="D303" i="1"/>
  <c r="D304" i="1"/>
  <c r="G304" i="1" s="1"/>
  <c r="D305" i="1"/>
  <c r="G305" i="1" s="1"/>
  <c r="D306" i="1"/>
  <c r="G306" i="1" s="1"/>
  <c r="D307" i="1"/>
  <c r="G307" i="1" s="1"/>
  <c r="D308" i="1"/>
  <c r="D309" i="1"/>
  <c r="G309" i="1" s="1"/>
  <c r="D310" i="1"/>
  <c r="G310" i="1" s="1"/>
  <c r="D311" i="1"/>
  <c r="D312" i="1"/>
  <c r="D313" i="1"/>
  <c r="G313" i="1" s="1"/>
  <c r="D314" i="1"/>
  <c r="G314" i="1" s="1"/>
  <c r="D315" i="1"/>
  <c r="D316" i="1"/>
  <c r="D317" i="1"/>
  <c r="G317" i="1" s="1"/>
  <c r="D318" i="1"/>
  <c r="G318" i="1" s="1"/>
  <c r="D319" i="1"/>
  <c r="D320" i="1"/>
  <c r="G320" i="1" s="1"/>
  <c r="D321" i="1"/>
  <c r="G321" i="1" s="1"/>
  <c r="D322" i="1"/>
  <c r="G322" i="1" s="1"/>
  <c r="D323" i="1"/>
  <c r="G323" i="1" s="1"/>
  <c r="D324" i="1"/>
  <c r="D325" i="1"/>
  <c r="G325" i="1" s="1"/>
  <c r="D326" i="1"/>
  <c r="G326" i="1" s="1"/>
  <c r="D327" i="1"/>
  <c r="D328" i="1"/>
  <c r="G328" i="1" s="1"/>
  <c r="D329" i="1"/>
  <c r="G329" i="1" s="1"/>
  <c r="D330" i="1"/>
  <c r="G330" i="1" s="1"/>
  <c r="D331" i="1"/>
  <c r="G331" i="1" s="1"/>
  <c r="D332" i="1"/>
  <c r="D333" i="1"/>
  <c r="G333" i="1" s="1"/>
  <c r="D334" i="1"/>
  <c r="D335" i="1"/>
  <c r="D336" i="1"/>
  <c r="D337" i="1"/>
  <c r="G337" i="1" s="1"/>
  <c r="D338" i="1"/>
  <c r="G338" i="1" s="1"/>
  <c r="D339" i="1"/>
  <c r="G339" i="1" s="1"/>
  <c r="D340" i="1"/>
  <c r="D341" i="1"/>
  <c r="G341" i="1" s="1"/>
  <c r="D342" i="1"/>
  <c r="G342" i="1" s="1"/>
  <c r="D343" i="1"/>
  <c r="D344" i="1"/>
  <c r="G344" i="1" s="1"/>
  <c r="D345" i="1"/>
  <c r="G345" i="1" s="1"/>
  <c r="D346" i="1"/>
  <c r="G346" i="1" s="1"/>
  <c r="D347" i="1"/>
  <c r="G347" i="1" s="1"/>
  <c r="D348" i="1"/>
  <c r="D349" i="1"/>
  <c r="G349" i="1" s="1"/>
  <c r="D350" i="1"/>
  <c r="G350" i="1" s="1"/>
  <c r="D351" i="1"/>
  <c r="D352" i="1"/>
  <c r="G352" i="1" s="1"/>
  <c r="D353" i="1"/>
  <c r="G353" i="1" s="1"/>
  <c r="D354" i="1"/>
  <c r="G354" i="1" s="1"/>
  <c r="D355" i="1"/>
  <c r="D356" i="1"/>
  <c r="D357" i="1"/>
  <c r="G357" i="1" s="1"/>
  <c r="D3" i="1"/>
  <c r="AB44" i="2" l="1"/>
  <c r="AC44" i="2" s="1"/>
  <c r="AB40" i="2"/>
  <c r="AC40" i="2" s="1"/>
  <c r="AB36" i="2"/>
  <c r="AC36" i="2" s="1"/>
  <c r="AB32" i="2"/>
  <c r="AC32" i="2" s="1"/>
  <c r="AB28" i="2"/>
  <c r="AC28" i="2" s="1"/>
  <c r="AB24" i="2"/>
  <c r="AC24" i="2" s="1"/>
  <c r="AB20" i="2"/>
  <c r="AC20" i="2" s="1"/>
  <c r="AB16" i="2"/>
  <c r="AC16" i="2" s="1"/>
  <c r="AB12" i="2"/>
  <c r="AC12" i="2" s="1"/>
  <c r="AB8" i="2"/>
  <c r="AC8" i="2" s="1"/>
  <c r="AB4" i="2"/>
  <c r="AC4" i="2" s="1"/>
  <c r="AB42" i="2"/>
  <c r="AC42" i="2" s="1"/>
  <c r="AB38" i="2"/>
  <c r="AC38" i="2" s="1"/>
  <c r="AB34" i="2"/>
  <c r="AC34" i="2" s="1"/>
  <c r="AB30" i="2"/>
  <c r="AC30" i="2" s="1"/>
  <c r="AB26" i="2"/>
  <c r="AC26" i="2" s="1"/>
  <c r="AB22" i="2"/>
  <c r="AC22" i="2" s="1"/>
  <c r="AB18" i="2"/>
  <c r="AC18" i="2" s="1"/>
  <c r="AB14" i="2"/>
  <c r="AC14" i="2" s="1"/>
  <c r="AB10" i="2"/>
  <c r="AC10" i="2" s="1"/>
  <c r="AB6" i="2"/>
  <c r="AC6" i="2" s="1"/>
  <c r="AB2" i="2"/>
  <c r="AC2" i="2" s="1"/>
  <c r="AB43" i="2"/>
  <c r="AC43" i="2" s="1"/>
  <c r="AB39" i="2"/>
  <c r="AC39" i="2" s="1"/>
  <c r="AB35" i="2"/>
  <c r="AC35" i="2" s="1"/>
  <c r="AB31" i="2"/>
  <c r="AC31" i="2" s="1"/>
  <c r="AB27" i="2"/>
  <c r="AC27" i="2" s="1"/>
  <c r="AB23" i="2"/>
  <c r="AC23" i="2" s="1"/>
  <c r="AB19" i="2"/>
  <c r="AC19" i="2" s="1"/>
  <c r="AB15" i="2"/>
  <c r="AC15" i="2" s="1"/>
  <c r="AB11" i="2"/>
  <c r="AC11" i="2" s="1"/>
  <c r="AB29" i="2"/>
  <c r="AC29" i="2" s="1"/>
  <c r="AB25" i="2"/>
  <c r="AC25" i="2" s="1"/>
  <c r="AB21" i="2"/>
  <c r="AC21" i="2" s="1"/>
  <c r="AB17" i="2"/>
  <c r="AC17" i="2" s="1"/>
  <c r="AB13" i="2"/>
  <c r="AC13" i="2" s="1"/>
  <c r="AB9" i="2"/>
  <c r="AC9" i="2" s="1"/>
  <c r="AB5" i="2"/>
  <c r="AC5" i="2" s="1"/>
  <c r="G3" i="1"/>
  <c r="G62" i="1"/>
  <c r="G54" i="1"/>
  <c r="G30" i="1"/>
  <c r="AA31" i="1"/>
  <c r="AA305" i="1"/>
  <c r="AA301" i="1"/>
  <c r="AA189" i="1"/>
  <c r="AA185" i="1"/>
  <c r="AA157" i="1"/>
  <c r="AA153" i="1"/>
  <c r="AA84" i="1"/>
  <c r="AA80" i="1"/>
  <c r="AB80" i="1" s="1"/>
  <c r="AA52" i="1"/>
  <c r="AA48" i="1"/>
  <c r="AB48" i="1" s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10" i="1"/>
  <c r="AA18" i="1"/>
  <c r="AA14" i="1"/>
  <c r="AA10" i="1"/>
  <c r="AA271" i="1"/>
  <c r="AA239" i="1"/>
  <c r="AA223" i="1"/>
  <c r="AB223" i="1" s="1"/>
  <c r="AA125" i="1"/>
  <c r="AA121" i="1"/>
  <c r="AA93" i="1"/>
  <c r="AA89" i="1"/>
  <c r="G356" i="1"/>
  <c r="G348" i="1"/>
  <c r="G340" i="1"/>
  <c r="G332" i="1"/>
  <c r="G324" i="1"/>
  <c r="G316" i="1"/>
  <c r="G308" i="1"/>
  <c r="G300" i="1"/>
  <c r="G292" i="1"/>
  <c r="G284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44" i="1"/>
  <c r="AA27" i="1"/>
  <c r="AA207" i="1"/>
  <c r="AA175" i="1"/>
  <c r="G16" i="1"/>
  <c r="G8" i="1"/>
  <c r="AA330" i="1"/>
  <c r="AA326" i="1"/>
  <c r="AA322" i="1"/>
  <c r="AA298" i="1"/>
  <c r="AB298" i="1" s="1"/>
  <c r="AA294" i="1"/>
  <c r="AA290" i="1"/>
  <c r="AB148" i="1"/>
  <c r="AA143" i="1"/>
  <c r="AA111" i="1"/>
  <c r="G343" i="1"/>
  <c r="G327" i="1"/>
  <c r="G311" i="1"/>
  <c r="G295" i="1"/>
  <c r="G279" i="1"/>
  <c r="G263" i="1"/>
  <c r="G247" i="1"/>
  <c r="G231" i="1"/>
  <c r="G215" i="1"/>
  <c r="G199" i="1"/>
  <c r="G183" i="1"/>
  <c r="G167" i="1"/>
  <c r="G151" i="1"/>
  <c r="G135" i="1"/>
  <c r="G111" i="1"/>
  <c r="G95" i="1"/>
  <c r="G79" i="1"/>
  <c r="G63" i="1"/>
  <c r="G47" i="1"/>
  <c r="G39" i="1"/>
  <c r="G31" i="1"/>
  <c r="G15" i="1"/>
  <c r="G7" i="1"/>
  <c r="AA339" i="1"/>
  <c r="AA266" i="1"/>
  <c r="AB266" i="1" s="1"/>
  <c r="AA262" i="1"/>
  <c r="AA258" i="1"/>
  <c r="AA234" i="1"/>
  <c r="AB234" i="1" s="1"/>
  <c r="AA230" i="1"/>
  <c r="AA226" i="1"/>
  <c r="AA79" i="1"/>
  <c r="AA47" i="1"/>
  <c r="G351" i="1"/>
  <c r="G335" i="1"/>
  <c r="G319" i="1"/>
  <c r="G303" i="1"/>
  <c r="G287" i="1"/>
  <c r="G271" i="1"/>
  <c r="G255" i="1"/>
  <c r="G239" i="1"/>
  <c r="G223" i="1"/>
  <c r="G207" i="1"/>
  <c r="G191" i="1"/>
  <c r="G175" i="1"/>
  <c r="G159" i="1"/>
  <c r="G143" i="1"/>
  <c r="G127" i="1"/>
  <c r="G119" i="1"/>
  <c r="G103" i="1"/>
  <c r="G87" i="1"/>
  <c r="G71" i="1"/>
  <c r="G55" i="1"/>
  <c r="G23" i="1"/>
  <c r="AA15" i="1"/>
  <c r="AA11" i="1"/>
  <c r="AA32" i="1"/>
  <c r="AA311" i="1"/>
  <c r="AA279" i="1"/>
  <c r="AA202" i="1"/>
  <c r="AB202" i="1" s="1"/>
  <c r="AA198" i="1"/>
  <c r="AA194" i="1"/>
  <c r="AA170" i="1"/>
  <c r="AB170" i="1" s="1"/>
  <c r="AA166" i="1"/>
  <c r="AA162" i="1"/>
  <c r="AA4" i="1"/>
  <c r="AB4" i="1" s="1"/>
  <c r="AA138" i="1"/>
  <c r="AB138" i="1" s="1"/>
  <c r="AA134" i="1"/>
  <c r="AA130" i="1"/>
  <c r="AA106" i="1"/>
  <c r="AB106" i="1" s="1"/>
  <c r="AA102" i="1"/>
  <c r="AB102" i="1" s="1"/>
  <c r="AA98" i="1"/>
  <c r="AB31" i="1"/>
  <c r="AB253" i="1"/>
  <c r="AB249" i="1"/>
  <c r="AB116" i="1"/>
  <c r="AB38" i="1"/>
  <c r="AB34" i="1"/>
  <c r="AB189" i="1"/>
  <c r="AB185" i="1"/>
  <c r="AB52" i="1"/>
  <c r="AB32" i="1"/>
  <c r="AB271" i="1"/>
  <c r="AB125" i="1"/>
  <c r="AB121" i="1"/>
  <c r="AB18" i="1"/>
  <c r="G66" i="1"/>
  <c r="G34" i="1"/>
  <c r="AB207" i="1"/>
  <c r="AB61" i="1"/>
  <c r="AB57" i="1"/>
  <c r="G58" i="1"/>
  <c r="G42" i="1"/>
  <c r="AB30" i="1"/>
  <c r="AB290" i="1"/>
  <c r="AB143" i="1"/>
  <c r="G74" i="1"/>
  <c r="G50" i="1"/>
  <c r="G26" i="1"/>
  <c r="G72" i="1"/>
  <c r="G64" i="1"/>
  <c r="G56" i="1"/>
  <c r="G48" i="1"/>
  <c r="G40" i="1"/>
  <c r="G32" i="1"/>
  <c r="G24" i="1"/>
  <c r="AB19" i="1"/>
  <c r="AB334" i="1"/>
  <c r="AB308" i="1"/>
  <c r="AB230" i="1"/>
  <c r="AB14" i="1"/>
  <c r="AB10" i="1"/>
  <c r="AB311" i="1"/>
  <c r="AB244" i="1"/>
  <c r="AB166" i="1"/>
  <c r="AB162" i="1"/>
  <c r="AB180" i="1"/>
  <c r="AB98" i="1"/>
  <c r="AA16" i="1"/>
  <c r="AA12" i="1"/>
  <c r="AA7" i="1"/>
  <c r="AA356" i="1"/>
  <c r="AA354" i="1"/>
  <c r="AA342" i="1"/>
  <c r="AA333" i="1"/>
  <c r="AA329" i="1"/>
  <c r="AA325" i="1"/>
  <c r="AA321" i="1"/>
  <c r="AA307" i="1"/>
  <c r="AA303" i="1"/>
  <c r="AA300" i="1"/>
  <c r="AA296" i="1"/>
  <c r="AA292" i="1"/>
  <c r="AA286" i="1"/>
  <c r="AA282" i="1"/>
  <c r="AA245" i="1"/>
  <c r="AB245" i="1" s="1"/>
  <c r="AA236" i="1"/>
  <c r="AA232" i="1"/>
  <c r="AA228" i="1"/>
  <c r="AA222" i="1"/>
  <c r="AA218" i="1"/>
  <c r="AA199" i="1"/>
  <c r="AA181" i="1"/>
  <c r="AB181" i="1" s="1"/>
  <c r="AA172" i="1"/>
  <c r="AA168" i="1"/>
  <c r="AA164" i="1"/>
  <c r="AA158" i="1"/>
  <c r="AA154" i="1"/>
  <c r="AA135" i="1"/>
  <c r="AA117" i="1"/>
  <c r="AB117" i="1" s="1"/>
  <c r="AA108" i="1"/>
  <c r="AA104" i="1"/>
  <c r="AA100" i="1"/>
  <c r="AA94" i="1"/>
  <c r="AA90" i="1"/>
  <c r="AA53" i="1"/>
  <c r="AB53" i="1" s="1"/>
  <c r="AA44" i="1"/>
  <c r="AA40" i="1"/>
  <c r="AA36" i="1"/>
  <c r="AA29" i="1"/>
  <c r="AA5" i="1"/>
  <c r="AA3" i="1"/>
  <c r="AA338" i="1"/>
  <c r="AB338" i="1" s="1"/>
  <c r="AA317" i="1"/>
  <c r="AB317" i="1" s="1"/>
  <c r="AA313" i="1"/>
  <c r="AA299" i="1"/>
  <c r="AA295" i="1"/>
  <c r="AA291" i="1"/>
  <c r="AA288" i="1"/>
  <c r="AA284" i="1"/>
  <c r="AA278" i="1"/>
  <c r="AA255" i="1"/>
  <c r="AB255" i="1" s="1"/>
  <c r="AA241" i="1"/>
  <c r="AA237" i="1"/>
  <c r="AA224" i="1"/>
  <c r="AA220" i="1"/>
  <c r="AA214" i="1"/>
  <c r="AA191" i="1"/>
  <c r="AB191" i="1" s="1"/>
  <c r="AA177" i="1"/>
  <c r="AA173" i="1"/>
  <c r="AA160" i="1"/>
  <c r="AA156" i="1"/>
  <c r="AA150" i="1"/>
  <c r="AA127" i="1"/>
  <c r="AB127" i="1" s="1"/>
  <c r="AA113" i="1"/>
  <c r="AA109" i="1"/>
  <c r="AA96" i="1"/>
  <c r="AA92" i="1"/>
  <c r="AA86" i="1"/>
  <c r="AA63" i="1"/>
  <c r="AB63" i="1" s="1"/>
  <c r="AA49" i="1"/>
  <c r="AA45" i="1"/>
  <c r="AA25" i="1"/>
  <c r="AA21" i="1"/>
  <c r="AA352" i="1"/>
  <c r="AA350" i="1"/>
  <c r="AA348" i="1"/>
  <c r="AA346" i="1"/>
  <c r="AA344" i="1"/>
  <c r="AA340" i="1"/>
  <c r="AA309" i="1"/>
  <c r="AA287" i="1"/>
  <c r="AA283" i="1"/>
  <c r="AA280" i="1"/>
  <c r="AA274" i="1"/>
  <c r="AA270" i="1"/>
  <c r="AA247" i="1"/>
  <c r="AA233" i="1"/>
  <c r="AA229" i="1"/>
  <c r="AA225" i="1"/>
  <c r="AA216" i="1"/>
  <c r="AA210" i="1"/>
  <c r="AA206" i="1"/>
  <c r="AA183" i="1"/>
  <c r="AA169" i="1"/>
  <c r="AA165" i="1"/>
  <c r="AA161" i="1"/>
  <c r="AA152" i="1"/>
  <c r="AA146" i="1"/>
  <c r="AA142" i="1"/>
  <c r="AA119" i="1"/>
  <c r="AA105" i="1"/>
  <c r="AA101" i="1"/>
  <c r="AA97" i="1"/>
  <c r="AA88" i="1"/>
  <c r="AA82" i="1"/>
  <c r="AA78" i="1"/>
  <c r="AA55" i="1"/>
  <c r="AA41" i="1"/>
  <c r="AA37" i="1"/>
  <c r="AA33" i="1"/>
  <c r="AA221" i="1"/>
  <c r="AA217" i="1"/>
  <c r="AA17" i="1"/>
  <c r="AA13" i="1"/>
  <c r="AA28" i="1"/>
  <c r="AA353" i="1"/>
  <c r="AA343" i="1"/>
  <c r="AA335" i="1"/>
  <c r="AA332" i="1"/>
  <c r="AA328" i="1"/>
  <c r="AA324" i="1"/>
  <c r="AA318" i="1"/>
  <c r="AA314" i="1"/>
  <c r="AA297" i="1"/>
  <c r="AA293" i="1"/>
  <c r="AA289" i="1"/>
  <c r="AA275" i="1"/>
  <c r="AA268" i="1"/>
  <c r="AA264" i="1"/>
  <c r="AA260" i="1"/>
  <c r="AA254" i="1"/>
  <c r="AA250" i="1"/>
  <c r="AA231" i="1"/>
  <c r="AA213" i="1"/>
  <c r="AB213" i="1" s="1"/>
  <c r="AA204" i="1"/>
  <c r="AA200" i="1"/>
  <c r="AA196" i="1"/>
  <c r="AA190" i="1"/>
  <c r="AA186" i="1"/>
  <c r="AA149" i="1"/>
  <c r="AB149" i="1" s="1"/>
  <c r="AA140" i="1"/>
  <c r="AA136" i="1"/>
  <c r="AA132" i="1"/>
  <c r="AA126" i="1"/>
  <c r="AA122" i="1"/>
  <c r="AA103" i="1"/>
  <c r="AA85" i="1"/>
  <c r="AB85" i="1" s="1"/>
  <c r="AA76" i="1"/>
  <c r="AA72" i="1"/>
  <c r="AA68" i="1"/>
  <c r="AA62" i="1"/>
  <c r="AA58" i="1"/>
  <c r="AA24" i="1"/>
  <c r="AA20" i="1"/>
  <c r="AA6" i="1"/>
  <c r="AB6" i="1" s="1"/>
  <c r="AA357" i="1"/>
  <c r="AB357" i="1" s="1"/>
  <c r="AA331" i="1"/>
  <c r="AA327" i="1"/>
  <c r="AA323" i="1"/>
  <c r="AA320" i="1"/>
  <c r="AA316" i="1"/>
  <c r="AA310" i="1"/>
  <c r="AA285" i="1"/>
  <c r="AB285" i="1" s="1"/>
  <c r="AA281" i="1"/>
  <c r="AA273" i="1"/>
  <c r="AA269" i="1"/>
  <c r="AA256" i="1"/>
  <c r="AA252" i="1"/>
  <c r="AA246" i="1"/>
  <c r="AA209" i="1"/>
  <c r="AA205" i="1"/>
  <c r="AA188" i="1"/>
  <c r="AA182" i="1"/>
  <c r="AA159" i="1"/>
  <c r="AB159" i="1" s="1"/>
  <c r="AA145" i="1"/>
  <c r="AA141" i="1"/>
  <c r="AA128" i="1"/>
  <c r="AA124" i="1"/>
  <c r="AA118" i="1"/>
  <c r="AA95" i="1"/>
  <c r="AB95" i="1" s="1"/>
  <c r="AA81" i="1"/>
  <c r="AA77" i="1"/>
  <c r="AA64" i="1"/>
  <c r="AA60" i="1"/>
  <c r="AA54" i="1"/>
  <c r="AA26" i="1"/>
  <c r="AA22" i="1"/>
  <c r="AA9" i="1"/>
  <c r="AA355" i="1"/>
  <c r="AA351" i="1"/>
  <c r="AB351" i="1" s="1"/>
  <c r="AA349" i="1"/>
  <c r="AA347" i="1"/>
  <c r="AA345" i="1"/>
  <c r="AB345" i="1" s="1"/>
  <c r="AA319" i="1"/>
  <c r="AA315" i="1"/>
  <c r="AA312" i="1"/>
  <c r="AA306" i="1"/>
  <c r="AA302" i="1"/>
  <c r="AA277" i="1"/>
  <c r="AA265" i="1"/>
  <c r="AA261" i="1"/>
  <c r="AA257" i="1"/>
  <c r="AA248" i="1"/>
  <c r="AA242" i="1"/>
  <c r="AA238" i="1"/>
  <c r="AA215" i="1"/>
  <c r="AA201" i="1"/>
  <c r="AA197" i="1"/>
  <c r="AA193" i="1"/>
  <c r="AA184" i="1"/>
  <c r="AA178" i="1"/>
  <c r="AA174" i="1"/>
  <c r="AA151" i="1"/>
  <c r="AA137" i="1"/>
  <c r="AA133" i="1"/>
  <c r="AA129" i="1"/>
  <c r="AA120" i="1"/>
  <c r="AA114" i="1"/>
  <c r="AA110" i="1"/>
  <c r="AA87" i="1"/>
  <c r="AA73" i="1"/>
  <c r="AA69" i="1"/>
  <c r="AA65" i="1"/>
  <c r="AA56" i="1"/>
  <c r="AA50" i="1"/>
  <c r="AA46" i="1"/>
  <c r="AB355" i="1"/>
  <c r="AB356" i="1"/>
  <c r="AB354" i="1"/>
  <c r="AB342" i="1"/>
  <c r="AB352" i="1"/>
  <c r="AB350" i="1"/>
  <c r="AB348" i="1"/>
  <c r="AB346" i="1"/>
  <c r="AB339" i="1"/>
  <c r="AB330" i="1"/>
  <c r="AB353" i="1"/>
  <c r="AA337" i="1"/>
  <c r="AA251" i="1"/>
  <c r="AA219" i="1"/>
  <c r="AA187" i="1"/>
  <c r="AA155" i="1"/>
  <c r="AA123" i="1"/>
  <c r="AA91" i="1"/>
  <c r="AA59" i="1"/>
  <c r="AA243" i="1"/>
  <c r="AA211" i="1"/>
  <c r="AA179" i="1"/>
  <c r="AA147" i="1"/>
  <c r="AA115" i="1"/>
  <c r="AA83" i="1"/>
  <c r="AA51" i="1"/>
  <c r="AA267" i="1"/>
  <c r="AA235" i="1"/>
  <c r="AA203" i="1"/>
  <c r="AA171" i="1"/>
  <c r="AA139" i="1"/>
  <c r="AA107" i="1"/>
  <c r="AA75" i="1"/>
  <c r="AA43" i="1"/>
  <c r="AA341" i="1"/>
  <c r="AA263" i="1"/>
  <c r="AA167" i="1"/>
  <c r="AA71" i="1"/>
  <c r="AA39" i="1"/>
  <c r="AA259" i="1"/>
  <c r="AA227" i="1"/>
  <c r="AA195" i="1"/>
  <c r="AA163" i="1"/>
  <c r="AA131" i="1"/>
  <c r="AA99" i="1"/>
  <c r="AA67" i="1"/>
  <c r="AA35" i="1"/>
  <c r="AB3" i="1"/>
  <c r="AB7" i="1"/>
  <c r="AB5" i="1"/>
  <c r="AB8" i="1"/>
  <c r="AB9" i="1"/>
  <c r="AB343" i="1" l="1"/>
  <c r="AB344" i="1"/>
  <c r="AB349" i="1"/>
  <c r="AB79" i="1"/>
  <c r="AB294" i="1"/>
  <c r="AB11" i="1"/>
  <c r="AB27" i="1"/>
  <c r="AB130" i="1"/>
  <c r="AB198" i="1"/>
  <c r="AB332" i="1"/>
  <c r="T4" i="1"/>
  <c r="S4" i="1" s="1"/>
  <c r="AB134" i="1"/>
  <c r="AB175" i="1"/>
  <c r="AB89" i="1"/>
  <c r="AB301" i="1"/>
  <c r="AB279" i="1"/>
  <c r="AB258" i="1"/>
  <c r="AB93" i="1"/>
  <c r="AB305" i="1"/>
  <c r="AB262" i="1"/>
  <c r="AB322" i="1"/>
  <c r="AB84" i="1"/>
  <c r="AB47" i="1"/>
  <c r="AB326" i="1"/>
  <c r="AB153" i="1"/>
  <c r="AB111" i="1"/>
  <c r="AB239" i="1"/>
  <c r="AB157" i="1"/>
  <c r="AB194" i="1"/>
  <c r="AB15" i="1"/>
  <c r="AB226" i="1"/>
  <c r="AB302" i="1"/>
  <c r="AB68" i="1"/>
  <c r="AB151" i="1"/>
  <c r="AB182" i="1"/>
  <c r="AB140" i="1"/>
  <c r="AB270" i="1"/>
  <c r="AB40" i="1"/>
  <c r="AB347" i="1"/>
  <c r="AB110" i="1"/>
  <c r="AB178" i="1"/>
  <c r="AB248" i="1"/>
  <c r="AB315" i="1"/>
  <c r="AB22" i="1"/>
  <c r="AB118" i="1"/>
  <c r="AB205" i="1"/>
  <c r="AB186" i="1"/>
  <c r="AB254" i="1"/>
  <c r="AB314" i="1"/>
  <c r="AB28" i="1"/>
  <c r="AB55" i="1"/>
  <c r="AB142" i="1"/>
  <c r="AB210" i="1"/>
  <c r="AB280" i="1"/>
  <c r="AB92" i="1"/>
  <c r="AB173" i="1"/>
  <c r="AB154" i="1"/>
  <c r="AB222" i="1"/>
  <c r="AB296" i="1"/>
  <c r="AB46" i="1"/>
  <c r="AB114" i="1"/>
  <c r="AB184" i="1"/>
  <c r="AB257" i="1"/>
  <c r="AB319" i="1"/>
  <c r="AB26" i="1"/>
  <c r="AB124" i="1"/>
  <c r="AB209" i="1"/>
  <c r="AB310" i="1"/>
  <c r="AB20" i="1"/>
  <c r="AB103" i="1"/>
  <c r="AB190" i="1"/>
  <c r="AB260" i="1"/>
  <c r="AB318" i="1"/>
  <c r="AB13" i="1"/>
  <c r="AB78" i="1"/>
  <c r="AB146" i="1"/>
  <c r="AB216" i="1"/>
  <c r="AB283" i="1"/>
  <c r="AB96" i="1"/>
  <c r="AB177" i="1"/>
  <c r="AB278" i="1"/>
  <c r="AB90" i="1"/>
  <c r="AB158" i="1"/>
  <c r="AB228" i="1"/>
  <c r="AB300" i="1"/>
  <c r="AB50" i="1"/>
  <c r="AB120" i="1"/>
  <c r="AB193" i="1"/>
  <c r="AB261" i="1"/>
  <c r="AB54" i="1"/>
  <c r="AB128" i="1"/>
  <c r="AB246" i="1"/>
  <c r="AB316" i="1"/>
  <c r="AB24" i="1"/>
  <c r="AB122" i="1"/>
  <c r="AB196" i="1"/>
  <c r="AB264" i="1"/>
  <c r="AB324" i="1"/>
  <c r="AB17" i="1"/>
  <c r="AB82" i="1"/>
  <c r="AB152" i="1"/>
  <c r="AB225" i="1"/>
  <c r="AB287" i="1"/>
  <c r="AB21" i="1"/>
  <c r="AB109" i="1"/>
  <c r="AB284" i="1"/>
  <c r="AB94" i="1"/>
  <c r="AB164" i="1"/>
  <c r="AB232" i="1"/>
  <c r="AB303" i="1"/>
  <c r="AB56" i="1"/>
  <c r="AB129" i="1"/>
  <c r="AB197" i="1"/>
  <c r="AB265" i="1"/>
  <c r="AB60" i="1"/>
  <c r="AB141" i="1"/>
  <c r="AB252" i="1"/>
  <c r="AB320" i="1"/>
  <c r="AB58" i="1"/>
  <c r="AB126" i="1"/>
  <c r="AB200" i="1"/>
  <c r="AB268" i="1"/>
  <c r="AB328" i="1"/>
  <c r="AB217" i="1"/>
  <c r="AB88" i="1"/>
  <c r="AB161" i="1"/>
  <c r="AB229" i="1"/>
  <c r="AB309" i="1"/>
  <c r="AB25" i="1"/>
  <c r="AB113" i="1"/>
  <c r="AB214" i="1"/>
  <c r="AB288" i="1"/>
  <c r="AB100" i="1"/>
  <c r="AB168" i="1"/>
  <c r="AB236" i="1"/>
  <c r="AB307" i="1"/>
  <c r="AB65" i="1"/>
  <c r="AB133" i="1"/>
  <c r="AB201" i="1"/>
  <c r="AB277" i="1"/>
  <c r="AB64" i="1"/>
  <c r="AB145" i="1"/>
  <c r="AB256" i="1"/>
  <c r="AB323" i="1"/>
  <c r="AB62" i="1"/>
  <c r="AB132" i="1"/>
  <c r="AB204" i="1"/>
  <c r="AB275" i="1"/>
  <c r="AB221" i="1"/>
  <c r="AB97" i="1"/>
  <c r="AB165" i="1"/>
  <c r="AB233" i="1"/>
  <c r="AB340" i="1"/>
  <c r="AB45" i="1"/>
  <c r="AB220" i="1"/>
  <c r="AB291" i="1"/>
  <c r="AB29" i="1"/>
  <c r="AB104" i="1"/>
  <c r="AB172" i="1"/>
  <c r="AB321" i="1"/>
  <c r="AB12" i="1"/>
  <c r="AB137" i="1"/>
  <c r="AB77" i="1"/>
  <c r="AB269" i="1"/>
  <c r="AB136" i="1"/>
  <c r="AB289" i="1"/>
  <c r="AB335" i="1"/>
  <c r="AB33" i="1"/>
  <c r="AB101" i="1"/>
  <c r="AB169" i="1"/>
  <c r="AB247" i="1"/>
  <c r="AB49" i="1"/>
  <c r="AB150" i="1"/>
  <c r="AB224" i="1"/>
  <c r="AB295" i="1"/>
  <c r="AB36" i="1"/>
  <c r="AB108" i="1"/>
  <c r="AB282" i="1"/>
  <c r="AB325" i="1"/>
  <c r="AB16" i="1"/>
  <c r="AB215" i="1"/>
  <c r="AB306" i="1"/>
  <c r="AB331" i="1"/>
  <c r="AB293" i="1"/>
  <c r="AB105" i="1"/>
  <c r="AB156" i="1"/>
  <c r="AB299" i="1"/>
  <c r="AB199" i="1"/>
  <c r="AB329" i="1"/>
  <c r="AB69" i="1"/>
  <c r="AB327" i="1"/>
  <c r="AB73" i="1"/>
  <c r="AB238" i="1"/>
  <c r="AB81" i="1"/>
  <c r="AB273" i="1"/>
  <c r="AB72" i="1"/>
  <c r="AB231" i="1"/>
  <c r="AB37" i="1"/>
  <c r="AB183" i="1"/>
  <c r="AB237" i="1"/>
  <c r="AB286" i="1"/>
  <c r="AB87" i="1"/>
  <c r="AB174" i="1"/>
  <c r="AB242" i="1"/>
  <c r="AB312" i="1"/>
  <c r="AB188" i="1"/>
  <c r="AB281" i="1"/>
  <c r="AB76" i="1"/>
  <c r="AB250" i="1"/>
  <c r="AB297" i="1"/>
  <c r="AB41" i="1"/>
  <c r="AB119" i="1"/>
  <c r="AB206" i="1"/>
  <c r="AB274" i="1"/>
  <c r="AB86" i="1"/>
  <c r="AB160" i="1"/>
  <c r="AB241" i="1"/>
  <c r="AB313" i="1"/>
  <c r="AB44" i="1"/>
  <c r="AB135" i="1"/>
  <c r="AB218" i="1"/>
  <c r="AB292" i="1"/>
  <c r="AB333" i="1"/>
  <c r="AB259" i="1"/>
  <c r="AB43" i="1"/>
  <c r="AB51" i="1"/>
  <c r="AB59" i="1"/>
  <c r="AB35" i="1"/>
  <c r="AB75" i="1"/>
  <c r="AB83" i="1"/>
  <c r="AB91" i="1"/>
  <c r="AB67" i="1"/>
  <c r="AB39" i="1"/>
  <c r="AB107" i="1"/>
  <c r="AB115" i="1"/>
  <c r="AB123" i="1"/>
  <c r="AB99" i="1"/>
  <c r="AB71" i="1"/>
  <c r="AB139" i="1"/>
  <c r="AB147" i="1"/>
  <c r="AB155" i="1"/>
  <c r="AB131" i="1"/>
  <c r="AB167" i="1"/>
  <c r="AB171" i="1"/>
  <c r="AB179" i="1"/>
  <c r="AB187" i="1"/>
  <c r="AB163" i="1"/>
  <c r="AB263" i="1"/>
  <c r="AB203" i="1"/>
  <c r="AB211" i="1"/>
  <c r="AB219" i="1"/>
  <c r="AB195" i="1"/>
  <c r="AB341" i="1"/>
  <c r="AB235" i="1"/>
  <c r="AB243" i="1"/>
  <c r="AB251" i="1"/>
  <c r="AB227" i="1"/>
  <c r="AB267" i="1"/>
  <c r="AB337" i="1"/>
</calcChain>
</file>

<file path=xl/sharedStrings.xml><?xml version="1.0" encoding="utf-8"?>
<sst xmlns="http://schemas.openxmlformats.org/spreadsheetml/2006/main" count="1264" uniqueCount="420">
  <si>
    <t>Szélesség</t>
  </si>
  <si>
    <t>Hosszúság</t>
  </si>
  <si>
    <t>szelB</t>
  </si>
  <si>
    <t>hosszB</t>
  </si>
  <si>
    <t>Hely</t>
  </si>
  <si>
    <t>Ország</t>
  </si>
  <si>
    <t>szelA</t>
  </si>
  <si>
    <t>hosszA</t>
  </si>
  <si>
    <t>Távolság</t>
  </si>
  <si>
    <t>Szezon</t>
  </si>
  <si>
    <t>Legmagasabb pont</t>
  </si>
  <si>
    <t>Legalacsonyabb pont</t>
  </si>
  <si>
    <t>Kezdő pályák</t>
  </si>
  <si>
    <t>Közepes pályák</t>
  </si>
  <si>
    <t>Nehéz pályák</t>
  </si>
  <si>
    <t>Összes pálya</t>
  </si>
  <si>
    <t>Leghosszabb pálya</t>
  </si>
  <si>
    <t>Nyári síelés</t>
  </si>
  <si>
    <t>Budapest</t>
  </si>
  <si>
    <t>Hemsedal</t>
  </si>
  <si>
    <t>Norvégia</t>
  </si>
  <si>
    <t>Nov, Dec, Jan, Febr, Márc, Ápr, Máj</t>
  </si>
  <si>
    <t>Geilosiden Geilo</t>
  </si>
  <si>
    <t>Nov, Dec, Jan, Febr, Márc, Ápr</t>
  </si>
  <si>
    <t>Legközelebb</t>
  </si>
  <si>
    <t>Golm</t>
  </si>
  <si>
    <t>Ausztria</t>
  </si>
  <si>
    <t>Dec, Jan, Febr, Márc, Ápr</t>
  </si>
  <si>
    <t>Hafjell</t>
  </si>
  <si>
    <t>Voss</t>
  </si>
  <si>
    <t>Hochschwarzeck</t>
  </si>
  <si>
    <t>Németország</t>
  </si>
  <si>
    <t>Fonna Glacier</t>
  </si>
  <si>
    <t>Máj, Jún, Júl, Aug, Szept</t>
  </si>
  <si>
    <t>Rossfeld - Berchtesgaden - Oberau</t>
  </si>
  <si>
    <t>Brauneck enggries Wegscheid</t>
  </si>
  <si>
    <t>Zermatt - Matterhorn</t>
  </si>
  <si>
    <t>Svájc</t>
  </si>
  <si>
    <t>Egész évben</t>
  </si>
  <si>
    <t>Val Gardena</t>
  </si>
  <si>
    <t>Olaszország</t>
  </si>
  <si>
    <t>Gressoney - La-Trinite (Monterosa Ski)</t>
  </si>
  <si>
    <t>Les Gets (Les Portes du Soleil)</t>
  </si>
  <si>
    <t>Franciaország</t>
  </si>
  <si>
    <t>Espace San Bernardo – La Rosičre/La Thuile</t>
  </si>
  <si>
    <t>The Lecht</t>
  </si>
  <si>
    <t>Egyesült Királyság</t>
  </si>
  <si>
    <t>Les Contamines-Hauteluce</t>
  </si>
  <si>
    <t>Nevis Range</t>
  </si>
  <si>
    <t>Valchiavenna – Madesimo/Campodolcino</t>
  </si>
  <si>
    <t>La Thuile / La Rosičre - Espace San Bernardo</t>
  </si>
  <si>
    <t>Livigno – Carosello/Mottolino</t>
  </si>
  <si>
    <t>Madonna di Campiglio-Pinzolo-Folgarida-Marilleva</t>
  </si>
  <si>
    <t>Wagrain (Ski amedé)</t>
  </si>
  <si>
    <t>Kaunertal Glacier (Kaunertaler Gletscher)</t>
  </si>
  <si>
    <t>Szept, Okt, Nov, Dec, Jan, Febr, Márc, Ápr, Máj, Jún</t>
  </si>
  <si>
    <t>Saalbach Hinterglemm Leogang Fieberbrunn (Skicircus)</t>
  </si>
  <si>
    <t>Sestriere ski resort (Via Lattea)</t>
  </si>
  <si>
    <t>Reither Kogel-Reith im Alpbachtal</t>
  </si>
  <si>
    <t>Dec, Jan, Febr, Márc</t>
  </si>
  <si>
    <t>Grandvalira – Pas de la Casa/Grau Roig/Soldeu/El Tarter/Canillo/Encamp</t>
  </si>
  <si>
    <t>Andorra</t>
  </si>
  <si>
    <t>Rinerhorn (Davos Klosters)</t>
  </si>
  <si>
    <t>Madrisa (Davos Klosters)</t>
  </si>
  <si>
    <t>Jakobshorn (Davos Klosters)</t>
  </si>
  <si>
    <t>Glacier 3000 / Les Diablerets</t>
  </si>
  <si>
    <t>Okt, Nov, Dec, Jan, Febr, Márc, Ápr, Máj</t>
  </si>
  <si>
    <t>Obergurgl-Hochgurgl</t>
  </si>
  <si>
    <t>Les Deux alpes</t>
  </si>
  <si>
    <t>Dec, Jan, Febr, Márc, Ápr, Jún, Júl, Aug, Okt, Nov</t>
  </si>
  <si>
    <t>Stubai Glacier</t>
  </si>
  <si>
    <t>Tignes - Val d’Isère</t>
  </si>
  <si>
    <t>Nov, Dec, Jan, Febr, Márc, Ápr, Máj, Jún, Júl, Aug</t>
  </si>
  <si>
    <t>La Plagne (Paradiski)</t>
  </si>
  <si>
    <t>Les Orres</t>
  </si>
  <si>
    <t>Espace Diamant-Les Saisies/Notre-Dame-de-Bellecombe/Praz sur Arly/Flumet/Crest-Voland</t>
  </si>
  <si>
    <t>Avoriaz (Les Portes du Soleil)</t>
  </si>
  <si>
    <t>Châtel (Les Portes du Soleil)</t>
  </si>
  <si>
    <t>Le Lys - Cauterets</t>
  </si>
  <si>
    <t>Pont d'Espagne - Cauterets</t>
  </si>
  <si>
    <t>La Grave - La Meije</t>
  </si>
  <si>
    <t>Courchevel (Les 3 Vallées)</t>
  </si>
  <si>
    <t>Saint Martin de Belleville (Les 3 Vallées)</t>
  </si>
  <si>
    <t>Alpe d'Huez</t>
  </si>
  <si>
    <t>La Tania-Val Thorens/Les Menuires/Méribel (Les 3 Vallées)</t>
  </si>
  <si>
    <t>Sainte-Foy-Tarentaise</t>
  </si>
  <si>
    <t>Les Arcs / Peisey-Vallandry (Paradiski)</t>
  </si>
  <si>
    <t>Montgenèvre (Via Lattea)</t>
  </si>
  <si>
    <t>Bonneval sur Arc</t>
  </si>
  <si>
    <t>Val Thorens (Les 3 Vallées)</t>
  </si>
  <si>
    <t>Serre Chevalier-Briançon/Chantemerle/Villeneuve-la-Salle/Le Monêtier-les-Bains</t>
  </si>
  <si>
    <t>Kleine Scheidegg / Männlichen-Grindelwald / Wengen</t>
  </si>
  <si>
    <t>Balme-Les Autannes-Vallorcine-Le Tour</t>
  </si>
  <si>
    <t>Grands Montets-Argentière (Chamonix)</t>
  </si>
  <si>
    <t>Dec, Jan, Febr, Márc, Ápr, Máj</t>
  </si>
  <si>
    <t>Arcalis-Ordino (Vallnord)</t>
  </si>
  <si>
    <t>Ruka</t>
  </si>
  <si>
    <t>Finnország</t>
  </si>
  <si>
    <t>Okt, Nov, Dec, Jan, Febr, Márc, Ápr, Máj, Jún</t>
  </si>
  <si>
    <t>Levi</t>
  </si>
  <si>
    <t>Kranjska Gora</t>
  </si>
  <si>
    <t>Szlovénia</t>
  </si>
  <si>
    <t>El Tarter – Pas de la Casa/Grau Roig/Soldeu/Canillo/Encamp (Grandvalira)</t>
  </si>
  <si>
    <t>Bansko</t>
  </si>
  <si>
    <t>Bulgária</t>
  </si>
  <si>
    <t>Kitzsteinhorn - Kaprun</t>
  </si>
  <si>
    <t>Júl</t>
  </si>
  <si>
    <t>Glencoe Mountain</t>
  </si>
  <si>
    <t>Sölden</t>
  </si>
  <si>
    <t>Szept, Okt, Nov, Dec, Jan, Febr, Márc, Ápr, Máj</t>
  </si>
  <si>
    <t>Kuühtai</t>
  </si>
  <si>
    <t>Obertauern</t>
  </si>
  <si>
    <t>Elfer Neustift</t>
  </si>
  <si>
    <t>Serfaus-Fiss-Ladis</t>
  </si>
  <si>
    <t>Hochkönig-Maria Alm/Dienten/Mühlbach</t>
  </si>
  <si>
    <t>Májusrhofen-Penken/Ahorn/Rastkogel/Eggalm</t>
  </si>
  <si>
    <t>St, Anton (Ski Arlberg)</t>
  </si>
  <si>
    <t>Axamer Lizum</t>
  </si>
  <si>
    <t>Flachau (Ski amedé)</t>
  </si>
  <si>
    <t>Ski Juwel Alpbachtal Wildschönau</t>
  </si>
  <si>
    <t>Ischgl</t>
  </si>
  <si>
    <t>Bad Gastein</t>
  </si>
  <si>
    <t>Gargellen</t>
  </si>
  <si>
    <t>Lech (Ski Arlberg)</t>
  </si>
  <si>
    <t>Kitzbühel / Kirchberg (KitzSki)</t>
  </si>
  <si>
    <t>Okt, Nov, Dec, Jan, Febr, Márc, Ápr</t>
  </si>
  <si>
    <t>Galtür</t>
  </si>
  <si>
    <t>Fieberbrunn - Saalbach Hinterglemm Leogang (Skicircus)</t>
  </si>
  <si>
    <t>Schladming (4-Berge-Skischauke)</t>
  </si>
  <si>
    <t>Ápr</t>
  </si>
  <si>
    <t>Ellmau (SkiWelt Wilder Kaiser-Brixental)</t>
  </si>
  <si>
    <t>Zauchensee</t>
  </si>
  <si>
    <t>Westendorf (SkiWelt Wilder Kaiser-Brixental)</t>
  </si>
  <si>
    <t>Silvretta Montafon</t>
  </si>
  <si>
    <t>Zürs (Ski Arlberg)</t>
  </si>
  <si>
    <t>Söll (SkiWelt Wilder Kaiser-Brixental)</t>
  </si>
  <si>
    <t>St, Johann in Tirol</t>
  </si>
  <si>
    <t>St, Christoph (Ski Arlberg)</t>
  </si>
  <si>
    <t>CourMájuseur / Chécrouit - Val Veny</t>
  </si>
  <si>
    <t>Sierra Nevada-Pradollano</t>
  </si>
  <si>
    <t>Spanyolország</t>
  </si>
  <si>
    <t>Cortina d'Ampezzo</t>
  </si>
  <si>
    <t>Val Senales Glacier</t>
  </si>
  <si>
    <t>Saas-Fee</t>
  </si>
  <si>
    <t>Júl, Aug, Szept, Okt, Nov, Dec, Jan, Febr, Márc, Ápr</t>
  </si>
  <si>
    <t>Champoluc (Monterosa Ski)</t>
  </si>
  <si>
    <t>Kronplatz (Plan de Corones)</t>
  </si>
  <si>
    <t>Formigal</t>
  </si>
  <si>
    <t>Baqueira / Beret</t>
  </si>
  <si>
    <t>Sauze d’Oulx (Via Lattea)</t>
  </si>
  <si>
    <t>Cervinia</t>
  </si>
  <si>
    <t>Wasserngrat (Gstaad)</t>
  </si>
  <si>
    <t>Wispile (Gstaad)</t>
  </si>
  <si>
    <t>Crans-Montana</t>
  </si>
  <si>
    <t>Brunni - Engelberg</t>
  </si>
  <si>
    <t>Arosa Lenzerheide</t>
  </si>
  <si>
    <t>Verbier (4 Vallées)</t>
  </si>
  <si>
    <t>St, Moritz - Corviglia</t>
  </si>
  <si>
    <t>Gresse en Vercors</t>
  </si>
  <si>
    <t>Nendaz (4 Vallées)</t>
  </si>
  <si>
    <t>Villars - Gryon / Les Diablerets</t>
  </si>
  <si>
    <t>Thyon (4 Vallées)</t>
  </si>
  <si>
    <t>Veysonnaz (4 Vallées)</t>
  </si>
  <si>
    <t>Buchenberg-Buching-Halblech-</t>
  </si>
  <si>
    <t>Alpendorf (Ski amedé)</t>
  </si>
  <si>
    <t>Méribel (Les 3 Vallées)</t>
  </si>
  <si>
    <t>Les Menuires (Les 3 Vallées)</t>
  </si>
  <si>
    <t>Les Sybelles-Le Corbier-La Toussuire-Les Bottières-St Colomban des Villards-St Sorlin-St Jean d’Arves</t>
  </si>
  <si>
    <t>Le Grand Massif-Flaine-Les Carroz-Morillon-Samoëns-Sixt</t>
  </si>
  <si>
    <t>Megève-Saint-Gervais</t>
  </si>
  <si>
    <t>Soldeu-Pas de la Casa/Grau Roig/El Tarter/Canillo/Encamp (Grandvalira)</t>
  </si>
  <si>
    <t>Laax-Flims-Falera</t>
  </si>
  <si>
    <t>Vars-Risoul-La Forêt Blanche</t>
  </si>
  <si>
    <t>Le Grand Domaine-Valmorel-Doucy-Celliers-St François Longchamp</t>
  </si>
  <si>
    <t>Galibier Thabor-Valmeinier-Valloire</t>
  </si>
  <si>
    <t>Zillertal Arena-Zell am Ziller-Gerlos-Königsleiten-Hochkrimml</t>
  </si>
  <si>
    <t>La Molina-Masella-Alp2500</t>
  </si>
  <si>
    <t>Auron-Saint-Etienne-de-Tinée</t>
  </si>
  <si>
    <t>Alta Badia</t>
  </si>
  <si>
    <t>La Clusaz-Manigod</t>
  </si>
  <si>
    <t>Espace Villard Corrençon-Villard-de-Lans-Corrençon-en-Vercors</t>
  </si>
  <si>
    <t>Val Cenis-Lanslevillard-Lanslebourg-Termignon</t>
  </si>
  <si>
    <t>Isola 2000</t>
  </si>
  <si>
    <t>Obersaxen-Mundaun-Val Lumnezia</t>
  </si>
  <si>
    <t>Les 7 Laux-Prapoutel-Le Pleynet-Pipay</t>
  </si>
  <si>
    <t>Corvatsch-Furtschellas</t>
  </si>
  <si>
    <t>Nassfeld-Hermagor</t>
  </si>
  <si>
    <t>Mondolè Ski-Artesina-Frabosa Soprana-Prato Nevoso</t>
  </si>
  <si>
    <t>Aletsch Arena-Riederalp-Bettmeralp-Fiesch Eggishorn</t>
  </si>
  <si>
    <t>Bad Kleinkirchheim-St, Oswald</t>
  </si>
  <si>
    <t>Bardonecchia</t>
  </si>
  <si>
    <t>Saint-Lary-Soulan</t>
  </si>
  <si>
    <t>Orcières Merlette 1850</t>
  </si>
  <si>
    <t>Dévoluy-Superdévoluy-La Joue du Loup</t>
  </si>
  <si>
    <t>Grand Tourmalet-Pic du Midi-La Mongie-Barèges</t>
  </si>
  <si>
    <t>Parsenn (Davos Klosters)</t>
  </si>
  <si>
    <t>Oberau (Wildschönau)</t>
  </si>
  <si>
    <t>Ĺre</t>
  </si>
  <si>
    <t>Svédország</t>
  </si>
  <si>
    <t>Alto Sangro-Roccaraso-Rivisondoli</t>
  </si>
  <si>
    <t>Chamrousse</t>
  </si>
  <si>
    <t>Valberg-Beuil les Launes</t>
  </si>
  <si>
    <t>Adelboden-Lenk-Chuenisbärgli-Silleren-Hahnenmoos-Metsch</t>
  </si>
  <si>
    <t>Rinderberg-Saanerslochgrat-Horneggli-Zweisimmen-Saanenmöser-Schönried-St, Stephan</t>
  </si>
  <si>
    <t>Graukogel-Bad Gastein</t>
  </si>
  <si>
    <t>Les Portes du Mont-Blanc-Combloux-Mégève le Jaillet-La Giettaz</t>
  </si>
  <si>
    <t>Le Grand Bornand</t>
  </si>
  <si>
    <t>Kaltenbach-Hochzillertal-Hochfügen-Ski-optimal</t>
  </si>
  <si>
    <t>Grimentz-Zinal</t>
  </si>
  <si>
    <t>Civetta-Alleghe-Selva di Cadore-Palafavera-Zoldo</t>
  </si>
  <si>
    <t>Ax les Thermes</t>
  </si>
  <si>
    <t>Damüls Mellau</t>
  </si>
  <si>
    <t>Zell am See</t>
  </si>
  <si>
    <t>Cerler</t>
  </si>
  <si>
    <t>Three Peaks Dolomites-Helm-Stiergarten-Rotwand-Kreuzbergpass</t>
  </si>
  <si>
    <t>Puy St, Vincent</t>
  </si>
  <si>
    <t>Folgaria-Fiorentini</t>
  </si>
  <si>
    <t>Titlis-Engelberg</t>
  </si>
  <si>
    <t>Trysil</t>
  </si>
  <si>
    <t>Nauders am Reschenpass-Bergkastel</t>
  </si>
  <si>
    <t>Grossarltal-Dorfgastein</t>
  </si>
  <si>
    <t>Katschberg</t>
  </si>
  <si>
    <t>Valfréjus</t>
  </si>
  <si>
    <t>Savognin</t>
  </si>
  <si>
    <t>Scuol-Motta Naluns</t>
  </si>
  <si>
    <t>Passo San Pellegrino-Falcade</t>
  </si>
  <si>
    <t>Piau Engaly</t>
  </si>
  <si>
    <t>Flumserberg</t>
  </si>
  <si>
    <t>Super Sauze</t>
  </si>
  <si>
    <t>La Norma</t>
  </si>
  <si>
    <t>Pal-Arinsal-La Massana-Vallnord-</t>
  </si>
  <si>
    <t>Arabba</t>
  </si>
  <si>
    <t>Wildkogel-Neukirchen-Bramberg</t>
  </si>
  <si>
    <t>Hintertux Glacier</t>
  </si>
  <si>
    <t>Disentis 3000</t>
  </si>
  <si>
    <t>Belalp-Blatten</t>
  </si>
  <si>
    <t>San Martino di Castrozza</t>
  </si>
  <si>
    <t>Meiringen-Hasliberg</t>
  </si>
  <si>
    <t>Toggenburg-Wildhaus-Unterwasser-Alt St, Johann</t>
  </si>
  <si>
    <t>Alpe di Siusi-Seiser Alm-</t>
  </si>
  <si>
    <t>Le Lioran</t>
  </si>
  <si>
    <t>Saint Luc-Chandolin-Anniviers-</t>
  </si>
  <si>
    <t>Les Karellis</t>
  </si>
  <si>
    <t>Peyragudes</t>
  </si>
  <si>
    <t>Leysin</t>
  </si>
  <si>
    <t>Ponte di Legno-Passo Tonale-Presena Glacier-Temù-Pontedilegno-Tonale</t>
  </si>
  <si>
    <t>Eggli-La Videmanette-Gstaad-Saanen-Rougemont</t>
  </si>
  <si>
    <t>Anzère</t>
  </si>
  <si>
    <t>Borovets</t>
  </si>
  <si>
    <t>Font-Romeu-Bolquère Pyrénées 2000</t>
  </si>
  <si>
    <t>Oppdal</t>
  </si>
  <si>
    <t>Brévent-Flégère-Chamonix</t>
  </si>
  <si>
    <t>Les Houches-Saint-Gervais-Prarion-Bellevue-Chamonix-</t>
  </si>
  <si>
    <t>Ylläs</t>
  </si>
  <si>
    <t>Belvedere-Col Rodella-Ciampac-Buffaure-Canazei-Campitello-Alba-Pozza di Fassa</t>
  </si>
  <si>
    <t>Lauchernalp-Lötschental</t>
  </si>
  <si>
    <t>Grossglockner Heiligenblut</t>
  </si>
  <si>
    <t>Brandnertal-Brand-Bürserberg</t>
  </si>
  <si>
    <t>Alpe du Grand-Serre-La Morte</t>
  </si>
  <si>
    <t>Les Angles</t>
  </si>
  <si>
    <t>Kopaonik</t>
  </si>
  <si>
    <t>Szerbia</t>
  </si>
  <si>
    <t>Aussois</t>
  </si>
  <si>
    <t>First-Grindelwald</t>
  </si>
  <si>
    <t>Sörenberg-Rothorn-Dorf</t>
  </si>
  <si>
    <t>Riserva Bianca-Limone Piemonte</t>
  </si>
  <si>
    <t>Gitschberg Jochtal</t>
  </si>
  <si>
    <t>Schilthorn-Mürren-Lauterbrunnen</t>
  </si>
  <si>
    <t>Dachstein West</t>
  </si>
  <si>
    <t>Pila</t>
  </si>
  <si>
    <t>Brigels-Waltensburg-Andiast</t>
  </si>
  <si>
    <t>Aprica</t>
  </si>
  <si>
    <t>Bormio-Cima Bianca</t>
  </si>
  <si>
    <t>Sedrun-Oberalp</t>
  </si>
  <si>
    <t>Grosseck-Speiereck-Mauterndorf-St, Michael</t>
  </si>
  <si>
    <t>Hirmentaz-Les Habières-Bellevaux-Habière-Poche</t>
  </si>
  <si>
    <t>Pragelato</t>
  </si>
  <si>
    <t>Porté Puymorens</t>
  </si>
  <si>
    <t>Szept, Okt, Nov, Dec, Jan, Febr, Márc, Ápr</t>
  </si>
  <si>
    <t>Mythenregion</t>
  </si>
  <si>
    <t>Candanchú</t>
  </si>
  <si>
    <t>Zugspitze</t>
  </si>
  <si>
    <t>Máj</t>
  </si>
  <si>
    <t>Lindvallen-Högfjället-Sälen</t>
  </si>
  <si>
    <t>Jasná Nízke Tatry-Chopok</t>
  </si>
  <si>
    <t>Szlovákia</t>
  </si>
  <si>
    <t>Tandådalen-Hundfjållet-Sälen</t>
  </si>
  <si>
    <t>Steinplatte-Winklmoosalm-Waidring-Reit im Winkl</t>
  </si>
  <si>
    <t>Rigi</t>
  </si>
  <si>
    <t>Métabief</t>
  </si>
  <si>
    <t>Vitosha-Sofia</t>
  </si>
  <si>
    <t>Latemar-Obereggen-Pampeago-Predazzo</t>
  </si>
  <si>
    <t>Szczyrk-Skrzyczne</t>
  </si>
  <si>
    <t>Lengyelország</t>
  </si>
  <si>
    <t>Mariborsko Pohorje-Maribor</t>
  </si>
  <si>
    <t>Praz de Lys-Sommand-Taninges-Mieussy-</t>
  </si>
  <si>
    <t>Jahorina</t>
  </si>
  <si>
    <t>Bosznia-Hercegovina</t>
  </si>
  <si>
    <t>Espace Dôle-La Dôle-Les Tuffes</t>
  </si>
  <si>
    <t>Kreischberg</t>
  </si>
  <si>
    <t>Garmisch-Classic-Garmisch-Partenkirchen</t>
  </si>
  <si>
    <t>Carezza Ski</t>
  </si>
  <si>
    <t>Pizol-Bad Ragaz-Wangs</t>
  </si>
  <si>
    <t>SuperBesse-Puy de Sancy</t>
  </si>
  <si>
    <t>Stöten</t>
  </si>
  <si>
    <t>Fellhorn-Kanzelwand-Oberstdorf-Riezlern</t>
  </si>
  <si>
    <t>Idre Fjäll</t>
  </si>
  <si>
    <t>Großglockner Resort Kals-Matrei</t>
  </si>
  <si>
    <t>Pamporovo</t>
  </si>
  <si>
    <t>Abetone-Val di Luce</t>
  </si>
  <si>
    <t>Gerlitzen</t>
  </si>
  <si>
    <t>Paganella-Andalo</t>
  </si>
  <si>
    <t>Melchsee-Frutt-Kerns-</t>
  </si>
  <si>
    <t>Vall de Núria</t>
  </si>
  <si>
    <t>Arêches-Beaufort</t>
  </si>
  <si>
    <t>Špíndlerův Mlýn</t>
  </si>
  <si>
    <t>Csehország</t>
  </si>
  <si>
    <t>Les Mosses-La Lécherette</t>
  </si>
  <si>
    <t>Cimone-Montecreto-Sestola-Le Polle</t>
  </si>
  <si>
    <t>Luchon Superbagnères</t>
  </si>
  <si>
    <t>Lélex-Crozet</t>
  </si>
  <si>
    <t>Sinaia</t>
  </si>
  <si>
    <t>Románia</t>
  </si>
  <si>
    <t>Gourette-Eaux Bonnes-</t>
  </si>
  <si>
    <t>Rauriser Hochalmbahnen-Rauris</t>
  </si>
  <si>
    <t>Hoch-Ybrig-Unteriberg-Oberiberg</t>
  </si>
  <si>
    <t>Meran 2000</t>
  </si>
  <si>
    <t>Nätschen-Andermatt</t>
  </si>
  <si>
    <t>Albiez-Montrond</t>
  </si>
  <si>
    <t>Tarvisio-Monte Lussari</t>
  </si>
  <si>
    <t>Mount Parnassos-Fterolakka-Kellaria</t>
  </si>
  <si>
    <t>Görögország</t>
  </si>
  <si>
    <t>Mölltal Glacier-Mölltaler Gletscher</t>
  </si>
  <si>
    <t>Wendelstein-Brannenburg-Osterhofen</t>
  </si>
  <si>
    <t>Glenshee</t>
  </si>
  <si>
    <t>Sulden am Ortler-Solda all'Ortles-</t>
  </si>
  <si>
    <t>Poiana Brașov</t>
  </si>
  <si>
    <t>Hinterstoder-Höss</t>
  </si>
  <si>
    <t>St, Jean Montclar</t>
  </si>
  <si>
    <t>Port del Comte</t>
  </si>
  <si>
    <t>Tänndalen</t>
  </si>
  <si>
    <t>Feldberg-Seebuck-Grafenmatt-Fahl</t>
  </si>
  <si>
    <t>Pitztal Glacier-Pitztaler Gletscher-</t>
  </si>
  <si>
    <t>Tauplitz-Bad Mitterndorf</t>
  </si>
  <si>
    <t>Hochoetz-Oetz</t>
  </si>
  <si>
    <t>Rosshütte-Seefeld</t>
  </si>
  <si>
    <t>Malbun</t>
  </si>
  <si>
    <t>Liechtenstein</t>
  </si>
  <si>
    <t>Špičák</t>
  </si>
  <si>
    <t>Riesneralm-Donnersbachwald</t>
  </si>
  <si>
    <t>Berwang-Bichlbach-Rinnen</t>
  </si>
  <si>
    <t>Glungezer-Tulfes</t>
  </si>
  <si>
    <t>Fanningberg</t>
  </si>
  <si>
    <t>Turracher Höhe</t>
  </si>
  <si>
    <t>Indoor ski area Snow Arena-Druskininkai</t>
  </si>
  <si>
    <t>Litvánia</t>
  </si>
  <si>
    <t>Niedere-Andelsbuch-Bezau</t>
  </si>
  <si>
    <t>Wurzeralm-Spital am Pyhrn</t>
  </si>
  <si>
    <t>Pråbichl-Vordernberg</t>
  </si>
  <si>
    <t>Pfelders-Moos in Passeier-</t>
  </si>
  <si>
    <t>Mitterdorf-Almberg-– Mitterfirmiansreut</t>
  </si>
  <si>
    <t>Lavarone</t>
  </si>
  <si>
    <t>Geißkopf-Bischofsmais</t>
  </si>
  <si>
    <t>Donovaly-Park Snow</t>
  </si>
  <si>
    <t>Kobla-Bohinj</t>
  </si>
  <si>
    <t>Sudelfeld-Bayrischzell</t>
  </si>
  <si>
    <t>Grüntenlifte-Kranzegg-Rettenberg</t>
  </si>
  <si>
    <t>Grebenzen-St, Lambrecht</t>
  </si>
  <si>
    <t>Kirchdorf</t>
  </si>
  <si>
    <t>Nebelhorn-Oberstdorf</t>
  </si>
  <si>
    <t>Lachtal</t>
  </si>
  <si>
    <t>Ramsau am Dachstein-Rittisberg</t>
  </si>
  <si>
    <t>Bürchen-Törbel-Moosalp</t>
  </si>
  <si>
    <t>Guzet</t>
  </si>
  <si>
    <t>Schetteregg-Egg</t>
  </si>
  <si>
    <t>Nov, Dec, Jan, Febr, Márc</t>
  </si>
  <si>
    <t>Fichtelberg-Oberwiesenthal</t>
  </si>
  <si>
    <t>Bellwald</t>
  </si>
  <si>
    <t>Klewenalp-Stockhütte-Beckenried-Emmetten</t>
  </si>
  <si>
    <t>Schöneck-Skiwelt</t>
  </si>
  <si>
    <t>Białka Tatrzańska-Kotelnica-Kaniońwka-Bania</t>
  </si>
  <si>
    <t>Štrbské Pleso</t>
  </si>
  <si>
    <t>Gaissau-Hintersee</t>
  </si>
  <si>
    <t>Márc</t>
  </si>
  <si>
    <t>Kellerjoch-Schwaz</t>
  </si>
  <si>
    <t>Aillons-Margériaz</t>
  </si>
  <si>
    <t>Hochrindl-Sirnitz</t>
  </si>
  <si>
    <t>La Bresse-Hohneck</t>
  </si>
  <si>
    <t>Dec</t>
  </si>
  <si>
    <t>Silbersattel-Steinach</t>
  </si>
  <si>
    <t>Lammeralm-Langenwang</t>
  </si>
  <si>
    <t>Kitzbüheler Horn</t>
  </si>
  <si>
    <t>Myrkdalen</t>
  </si>
  <si>
    <t>Loser-Altaussee</t>
  </si>
  <si>
    <t>Christlum-Achenkirch</t>
  </si>
  <si>
    <t>Grasgehren-Bolgengrat</t>
  </si>
  <si>
    <t>Götschen-Bischofswiesen</t>
  </si>
  <si>
    <t>Torrent-Leukerbad</t>
  </si>
  <si>
    <t>Monte Popolo-Eben im Pongau</t>
  </si>
  <si>
    <t>Jochgrimm-Passo Oclini-</t>
  </si>
  <si>
    <t>Alpe Lusia-Moena-Bellamonte</t>
  </si>
  <si>
    <t>Unternberg-Ruhpolding-</t>
  </si>
  <si>
    <t>Diavolezza-Lagalb</t>
  </si>
  <si>
    <t>Kubínska hol’a</t>
  </si>
  <si>
    <t>Gälä</t>
  </si>
  <si>
    <t>Kvitfjell</t>
  </si>
  <si>
    <t>Molines-en-Queyras-Saint-Véran</t>
  </si>
  <si>
    <t>Tatranská Lomnica</t>
  </si>
  <si>
    <t>Kanin-Sella Nevea-Bovec</t>
  </si>
  <si>
    <t>Postwiesen Skidorf-Neuastenberg</t>
  </si>
  <si>
    <t>Kaiseregg-Riggisalp-Schwarzsee</t>
  </si>
  <si>
    <t>St, Pierre de Chartreuse-Le Planolet</t>
  </si>
  <si>
    <t>Oberjoch-Bad Hindelang-– Iseler</t>
  </si>
  <si>
    <t>Mönichkirchen-Mariensee</t>
  </si>
  <si>
    <t>Grächen</t>
  </si>
  <si>
    <t>Puigmal</t>
  </si>
  <si>
    <t>Kranzberg-Mittenwald</t>
  </si>
  <si>
    <t>Wetterstein lifts-Wettersteinbahnen-– Ehrwald</t>
  </si>
  <si>
    <t>Stuhleck-Spital am Semmering</t>
  </si>
  <si>
    <t>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</si>
</sst>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0.00&quot; km&quot;"/>
    <numFmt numFmtId="168" formatCode="General&quot; m&quot;"/>
    <numFmt numFmtId="169" formatCode="General&quot; db&quot;"/>
    <numFmt numFmtId="170" formatCode="#,###&quot; km&quot;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67" fontId="0" fillId="0" borderId="1" xfId="0" applyNumberFormat="1" applyBorder="1"/>
    <xf numFmtId="0" fontId="0" fillId="0" borderId="2" xfId="0" applyBorder="1"/>
    <xf numFmtId="167" fontId="0" fillId="0" borderId="4" xfId="0" applyNumberFormat="1" applyBorder="1"/>
    <xf numFmtId="0" fontId="0" fillId="0" borderId="5" xfId="0" applyBorder="1"/>
    <xf numFmtId="168" fontId="0" fillId="0" borderId="6" xfId="0" applyNumberFormat="1" applyBorder="1"/>
    <xf numFmtId="0" fontId="0" fillId="0" borderId="7" xfId="0" applyBorder="1"/>
    <xf numFmtId="169" fontId="0" fillId="0" borderId="9" xfId="0" applyNumberFormat="1" applyBorder="1"/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8" xfId="0" applyBorder="1" applyAlignment="1">
      <alignment horizontal="right"/>
    </xf>
    <xf numFmtId="170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textRotation="90" wrapText="1"/>
    </xf>
    <xf numFmtId="0" fontId="1" fillId="2" borderId="11" xfId="0" applyFont="1" applyFill="1" applyBorder="1" applyAlignment="1">
      <alignment horizontal="center" vertical="center" textRotation="90" wrapText="1"/>
    </xf>
    <xf numFmtId="0" fontId="1" fillId="2" borderId="12" xfId="0" applyFont="1" applyFill="1" applyBorder="1" applyAlignment="1">
      <alignment horizontal="center" vertical="center" textRotation="90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167" fontId="0" fillId="0" borderId="16" xfId="0" applyNumberFormat="1" applyBorder="1"/>
    <xf numFmtId="170" fontId="0" fillId="0" borderId="16" xfId="0" applyNumberForma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ál" xfId="0" builtinId="0"/>
  </cellStyles>
  <dxfs count="1"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Sípályák száma az olasz síparadicsomokban</a:t>
            </a:r>
          </a:p>
        </c:rich>
      </c:tx>
      <c:layout>
        <c:manualLayout>
          <c:xMode val="edge"/>
          <c:yMode val="edge"/>
          <c:x val="0.1455971128608923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Olaszország!$K$1</c:f>
              <c:strCache>
                <c:ptCount val="1"/>
                <c:pt idx="0">
                  <c:v>Kezdő pályák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Olaszország!$K$2:$K$45</c:f>
              <c:numCache>
                <c:formatCode>General</c:formatCode>
                <c:ptCount val="44"/>
                <c:pt idx="0">
                  <c:v>9</c:v>
                </c:pt>
                <c:pt idx="1">
                  <c:v>17</c:v>
                </c:pt>
                <c:pt idx="2">
                  <c:v>45</c:v>
                </c:pt>
                <c:pt idx="3">
                  <c:v>52</c:v>
                </c:pt>
                <c:pt idx="4">
                  <c:v>30</c:v>
                </c:pt>
                <c:pt idx="5">
                  <c:v>70</c:v>
                </c:pt>
                <c:pt idx="6">
                  <c:v>32</c:v>
                </c:pt>
                <c:pt idx="7">
                  <c:v>17</c:v>
                </c:pt>
                <c:pt idx="8">
                  <c:v>20</c:v>
                </c:pt>
                <c:pt idx="9">
                  <c:v>16</c:v>
                </c:pt>
                <c:pt idx="10">
                  <c:v>52</c:v>
                </c:pt>
                <c:pt idx="11">
                  <c:v>12</c:v>
                </c:pt>
                <c:pt idx="12">
                  <c:v>14</c:v>
                </c:pt>
                <c:pt idx="13">
                  <c:v>21</c:v>
                </c:pt>
                <c:pt idx="14">
                  <c:v>9</c:v>
                </c:pt>
                <c:pt idx="15">
                  <c:v>4</c:v>
                </c:pt>
                <c:pt idx="16">
                  <c:v>7</c:v>
                </c:pt>
                <c:pt idx="17">
                  <c:v>12</c:v>
                </c:pt>
                <c:pt idx="18">
                  <c:v>5</c:v>
                </c:pt>
                <c:pt idx="19">
                  <c:v>19</c:v>
                </c:pt>
                <c:pt idx="20">
                  <c:v>36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60</c:v>
                </c:pt>
                <c:pt idx="25">
                  <c:v>17</c:v>
                </c:pt>
                <c:pt idx="26">
                  <c:v>10</c:v>
                </c:pt>
                <c:pt idx="27">
                  <c:v>14</c:v>
                </c:pt>
                <c:pt idx="28">
                  <c:v>30</c:v>
                </c:pt>
                <c:pt idx="29">
                  <c:v>28</c:v>
                </c:pt>
                <c:pt idx="30">
                  <c:v>37</c:v>
                </c:pt>
                <c:pt idx="31">
                  <c:v>13</c:v>
                </c:pt>
                <c:pt idx="32">
                  <c:v>14</c:v>
                </c:pt>
                <c:pt idx="33">
                  <c:v>8</c:v>
                </c:pt>
                <c:pt idx="34">
                  <c:v>23</c:v>
                </c:pt>
                <c:pt idx="35">
                  <c:v>23</c:v>
                </c:pt>
                <c:pt idx="36">
                  <c:v>16</c:v>
                </c:pt>
                <c:pt idx="37">
                  <c:v>42</c:v>
                </c:pt>
                <c:pt idx="38">
                  <c:v>55</c:v>
                </c:pt>
                <c:pt idx="39">
                  <c:v>11</c:v>
                </c:pt>
                <c:pt idx="40">
                  <c:v>14</c:v>
                </c:pt>
                <c:pt idx="41">
                  <c:v>96</c:v>
                </c:pt>
                <c:pt idx="42">
                  <c:v>96</c:v>
                </c:pt>
                <c:pt idx="4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4-407F-A7BF-87EF61817B82}"/>
            </c:ext>
          </c:extLst>
        </c:ser>
        <c:ser>
          <c:idx val="1"/>
          <c:order val="1"/>
          <c:tx>
            <c:strRef>
              <c:f>Olaszország!$L$1</c:f>
              <c:strCache>
                <c:ptCount val="1"/>
                <c:pt idx="0">
                  <c:v>Közepes pályák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Olaszország!$L$2:$L$45</c:f>
              <c:numCache>
                <c:formatCode>General</c:formatCode>
                <c:ptCount val="44"/>
                <c:pt idx="0">
                  <c:v>11</c:v>
                </c:pt>
                <c:pt idx="1">
                  <c:v>39</c:v>
                </c:pt>
                <c:pt idx="2">
                  <c:v>55</c:v>
                </c:pt>
                <c:pt idx="3">
                  <c:v>42</c:v>
                </c:pt>
                <c:pt idx="4">
                  <c:v>44</c:v>
                </c:pt>
                <c:pt idx="5">
                  <c:v>52</c:v>
                </c:pt>
                <c:pt idx="6">
                  <c:v>22</c:v>
                </c:pt>
                <c:pt idx="7">
                  <c:v>25</c:v>
                </c:pt>
                <c:pt idx="8">
                  <c:v>38</c:v>
                </c:pt>
                <c:pt idx="9">
                  <c:v>32</c:v>
                </c:pt>
                <c:pt idx="10">
                  <c:v>105</c:v>
                </c:pt>
                <c:pt idx="11">
                  <c:v>10</c:v>
                </c:pt>
                <c:pt idx="12">
                  <c:v>45</c:v>
                </c:pt>
                <c:pt idx="13">
                  <c:v>14</c:v>
                </c:pt>
                <c:pt idx="14">
                  <c:v>32</c:v>
                </c:pt>
                <c:pt idx="15">
                  <c:v>2</c:v>
                </c:pt>
                <c:pt idx="16">
                  <c:v>40</c:v>
                </c:pt>
                <c:pt idx="17">
                  <c:v>25</c:v>
                </c:pt>
                <c:pt idx="18">
                  <c:v>9</c:v>
                </c:pt>
                <c:pt idx="19">
                  <c:v>5</c:v>
                </c:pt>
                <c:pt idx="20">
                  <c:v>32</c:v>
                </c:pt>
                <c:pt idx="21">
                  <c:v>7</c:v>
                </c:pt>
                <c:pt idx="22">
                  <c:v>22</c:v>
                </c:pt>
                <c:pt idx="23">
                  <c:v>25</c:v>
                </c:pt>
                <c:pt idx="24">
                  <c:v>68</c:v>
                </c:pt>
                <c:pt idx="25">
                  <c:v>13</c:v>
                </c:pt>
                <c:pt idx="26">
                  <c:v>40</c:v>
                </c:pt>
                <c:pt idx="27">
                  <c:v>34</c:v>
                </c:pt>
                <c:pt idx="28">
                  <c:v>65</c:v>
                </c:pt>
                <c:pt idx="29">
                  <c:v>14</c:v>
                </c:pt>
                <c:pt idx="30">
                  <c:v>32</c:v>
                </c:pt>
                <c:pt idx="31">
                  <c:v>28</c:v>
                </c:pt>
                <c:pt idx="32">
                  <c:v>28</c:v>
                </c:pt>
                <c:pt idx="33">
                  <c:v>35</c:v>
                </c:pt>
                <c:pt idx="34">
                  <c:v>94</c:v>
                </c:pt>
                <c:pt idx="35">
                  <c:v>94</c:v>
                </c:pt>
                <c:pt idx="36">
                  <c:v>21</c:v>
                </c:pt>
                <c:pt idx="37">
                  <c:v>51</c:v>
                </c:pt>
                <c:pt idx="38">
                  <c:v>83</c:v>
                </c:pt>
                <c:pt idx="39">
                  <c:v>35</c:v>
                </c:pt>
                <c:pt idx="40">
                  <c:v>32</c:v>
                </c:pt>
                <c:pt idx="41">
                  <c:v>220</c:v>
                </c:pt>
                <c:pt idx="42">
                  <c:v>220</c:v>
                </c:pt>
                <c:pt idx="4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4-407F-A7BF-87EF61817B82}"/>
            </c:ext>
          </c:extLst>
        </c:ser>
        <c:ser>
          <c:idx val="2"/>
          <c:order val="2"/>
          <c:tx>
            <c:strRef>
              <c:f>Olaszország!$M$1</c:f>
              <c:strCache>
                <c:ptCount val="1"/>
                <c:pt idx="0">
                  <c:v>Nehéz pályák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Olaszország!$M$2:$M$45</c:f>
              <c:numCache>
                <c:formatCode>General</c:formatCode>
                <c:ptCount val="44"/>
                <c:pt idx="0">
                  <c:v>5</c:v>
                </c:pt>
                <c:pt idx="1">
                  <c:v>18</c:v>
                </c:pt>
                <c:pt idx="2">
                  <c:v>20</c:v>
                </c:pt>
                <c:pt idx="3">
                  <c:v>25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18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7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5</c:v>
                </c:pt>
                <c:pt idx="21">
                  <c:v>11</c:v>
                </c:pt>
                <c:pt idx="22">
                  <c:v>1</c:v>
                </c:pt>
                <c:pt idx="23">
                  <c:v>10</c:v>
                </c:pt>
                <c:pt idx="24">
                  <c:v>22</c:v>
                </c:pt>
                <c:pt idx="25">
                  <c:v>14</c:v>
                </c:pt>
                <c:pt idx="26">
                  <c:v>9</c:v>
                </c:pt>
                <c:pt idx="27">
                  <c:v>2</c:v>
                </c:pt>
                <c:pt idx="28">
                  <c:v>20</c:v>
                </c:pt>
                <c:pt idx="29">
                  <c:v>7</c:v>
                </c:pt>
                <c:pt idx="30">
                  <c:v>20</c:v>
                </c:pt>
                <c:pt idx="31">
                  <c:v>5</c:v>
                </c:pt>
                <c:pt idx="32">
                  <c:v>1</c:v>
                </c:pt>
                <c:pt idx="33">
                  <c:v>6</c:v>
                </c:pt>
                <c:pt idx="34">
                  <c:v>15</c:v>
                </c:pt>
                <c:pt idx="35">
                  <c:v>15</c:v>
                </c:pt>
                <c:pt idx="36">
                  <c:v>4</c:v>
                </c:pt>
                <c:pt idx="37">
                  <c:v>11</c:v>
                </c:pt>
                <c:pt idx="38">
                  <c:v>22</c:v>
                </c:pt>
                <c:pt idx="39">
                  <c:v>5</c:v>
                </c:pt>
                <c:pt idx="40">
                  <c:v>4</c:v>
                </c:pt>
                <c:pt idx="41">
                  <c:v>84</c:v>
                </c:pt>
                <c:pt idx="42">
                  <c:v>84</c:v>
                </c:pt>
                <c:pt idx="4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54-407F-A7BF-87EF61817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3968143"/>
        <c:axId val="1613967311"/>
      </c:barChart>
      <c:catAx>
        <c:axId val="161396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3967311"/>
        <c:crosses val="autoZero"/>
        <c:auto val="1"/>
        <c:lblAlgn val="ctr"/>
        <c:lblOffset val="100"/>
        <c:noMultiLvlLbl val="0"/>
      </c:catAx>
      <c:valAx>
        <c:axId val="161396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396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557892</xdr:colOff>
      <xdr:row>50</xdr:row>
      <xdr:rowOff>171451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7E6D1BE4-AEFB-4CDE-8236-C1100A3E0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17AF-6339-4D94-B17B-2458672BDA07}">
  <dimension ref="A1:AB357"/>
  <sheetViews>
    <sheetView topLeftCell="D1" zoomScale="130" zoomScaleNormal="130" workbookViewId="0">
      <selection activeCell="R12" sqref="R12"/>
    </sheetView>
  </sheetViews>
  <sheetFormatPr defaultRowHeight="15" x14ac:dyDescent="0.25"/>
  <cols>
    <col min="1" max="1" width="17.85546875" customWidth="1"/>
    <col min="2" max="2" width="16" customWidth="1"/>
    <col min="3" max="3" width="11.85546875" customWidth="1"/>
    <col min="4" max="4" width="12.28515625" customWidth="1"/>
    <col min="5" max="5" width="11" customWidth="1"/>
    <col min="6" max="6" width="12.5703125" customWidth="1"/>
    <col min="7" max="7" width="14.28515625" customWidth="1"/>
    <col min="8" max="8" width="37.7109375" customWidth="1"/>
    <col min="18" max="18" width="17" customWidth="1"/>
    <col min="19" max="19" width="21" customWidth="1"/>
    <col min="20" max="20" width="11.140625" customWidth="1"/>
  </cols>
  <sheetData>
    <row r="1" spans="1:28" x14ac:dyDescent="0.25">
      <c r="S1" t="s">
        <v>0</v>
      </c>
      <c r="T1" t="s">
        <v>1</v>
      </c>
      <c r="U1" t="s">
        <v>2</v>
      </c>
      <c r="V1" t="s">
        <v>3</v>
      </c>
    </row>
    <row r="2" spans="1:28" x14ac:dyDescent="0.25">
      <c r="A2" t="s">
        <v>4</v>
      </c>
      <c r="B2" t="s">
        <v>5</v>
      </c>
      <c r="C2" t="s">
        <v>0</v>
      </c>
      <c r="D2" t="s">
        <v>6</v>
      </c>
      <c r="E2" t="s">
        <v>1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R2" t="s">
        <v>18</v>
      </c>
      <c r="S2">
        <v>47.497912999999997</v>
      </c>
      <c r="T2">
        <v>19.040236</v>
      </c>
      <c r="U2">
        <v>0.82899497</v>
      </c>
      <c r="V2">
        <v>0.33231480899999999</v>
      </c>
    </row>
    <row r="3" spans="1:28" ht="15.75" thickBot="1" x14ac:dyDescent="0.3">
      <c r="A3" t="s">
        <v>19</v>
      </c>
      <c r="B3" t="s">
        <v>20</v>
      </c>
      <c r="C3">
        <v>60.928243700000003</v>
      </c>
      <c r="D3">
        <f>RADIANS(C3)</f>
        <v>1.0633984600224922</v>
      </c>
      <c r="E3">
        <v>8.3834869300000001</v>
      </c>
      <c r="F3">
        <f>RADIANS(E3)</f>
        <v>0.14631944972641139</v>
      </c>
      <c r="G3">
        <f>ACOS(SIN(D3)*SIN($U$2)+COS(D3) * COS($U$2) * COS($V$2 - F3)) * 6371</f>
        <v>1641.4990004464139</v>
      </c>
      <c r="H3" t="s">
        <v>21</v>
      </c>
      <c r="I3">
        <v>1450</v>
      </c>
      <c r="J3">
        <v>620</v>
      </c>
      <c r="K3">
        <v>29</v>
      </c>
      <c r="L3">
        <v>10</v>
      </c>
      <c r="M3">
        <v>4</v>
      </c>
      <c r="N3">
        <f>SUM(K3,L3,M3)</f>
        <v>43</v>
      </c>
      <c r="O3">
        <v>6</v>
      </c>
      <c r="P3" t="str">
        <f>IF(AA3, "Igen", "Nem")</f>
        <v>Nem</v>
      </c>
      <c r="W3" t="b">
        <f t="shared" ref="W3:W8" si="0">IFERROR(SEARCH("Jún",H3), FALSE)</f>
        <v>0</v>
      </c>
      <c r="X3" t="b">
        <f t="shared" ref="X3:X8" si="1">IFERROR(SEARCH("Júl",H3), FALSE)</f>
        <v>0</v>
      </c>
      <c r="Y3" t="b">
        <f t="shared" ref="Y3:Y8" si="2">IFERROR(SEARCH("Aug",H3), FALSE)</f>
        <v>0</v>
      </c>
      <c r="Z3" t="b">
        <f t="shared" ref="Z3:Z8" si="3">IFERROR(SEARCH("Egész évben",H3), FALSE)</f>
        <v>0</v>
      </c>
      <c r="AA3" t="b">
        <f t="shared" ref="AA3:AA8" si="4">OR(W3,X3,Y3,Z3)</f>
        <v>0</v>
      </c>
      <c r="AB3" t="str">
        <f t="shared" ref="AB3:AB8" si="5">IF(AA3, "igen", "nem")</f>
        <v>nem</v>
      </c>
    </row>
    <row r="4" spans="1:28" ht="15.75" thickTop="1" x14ac:dyDescent="0.25">
      <c r="A4" t="s">
        <v>22</v>
      </c>
      <c r="B4" t="s">
        <v>20</v>
      </c>
      <c r="C4">
        <v>60.534526100000001</v>
      </c>
      <c r="D4">
        <f t="shared" ref="D4:D67" si="6">RADIANS(C4)</f>
        <v>1.0565267915794423</v>
      </c>
      <c r="E4">
        <v>8.2063719000000006</v>
      </c>
      <c r="F4">
        <f t="shared" ref="F4:F67" si="7">RADIANS(E4)</f>
        <v>0.14322820929814287</v>
      </c>
      <c r="G4">
        <f>ACOS(SIN(D4)*SIN($U$2)+COS(D4) * COS($U$2) * COS($V$2 - F4)) * 6371</f>
        <v>1608.3766200300565</v>
      </c>
      <c r="H4" t="s">
        <v>23</v>
      </c>
      <c r="I4">
        <v>1178</v>
      </c>
      <c r="J4">
        <v>800</v>
      </c>
      <c r="K4">
        <v>18</v>
      </c>
      <c r="L4">
        <v>12</v>
      </c>
      <c r="M4">
        <v>4</v>
      </c>
      <c r="N4">
        <f t="shared" ref="N4:N67" si="8">SUM(K4,L4,M4)</f>
        <v>34</v>
      </c>
      <c r="O4">
        <v>2</v>
      </c>
      <c r="P4" t="str">
        <f t="shared" ref="P4:P67" si="9">IF(AA4, "Igen", "Nem")</f>
        <v>Nem</v>
      </c>
      <c r="R4" s="3" t="s">
        <v>24</v>
      </c>
      <c r="S4" s="9" t="str">
        <f>_xlfn.XLOOKUP(T4,G3:G357,A3:A357)</f>
        <v>Donovaly-Park Snow</v>
      </c>
      <c r="T4" s="4">
        <f>MIN(G3:G357)</f>
        <v>155.31581264282477</v>
      </c>
      <c r="W4" t="b">
        <f t="shared" si="0"/>
        <v>0</v>
      </c>
      <c r="X4" t="b">
        <f t="shared" si="1"/>
        <v>0</v>
      </c>
      <c r="Y4" t="b">
        <f t="shared" si="2"/>
        <v>0</v>
      </c>
      <c r="Z4" t="b">
        <f t="shared" si="3"/>
        <v>0</v>
      </c>
      <c r="AA4" t="b">
        <f t="shared" si="4"/>
        <v>0</v>
      </c>
      <c r="AB4" t="str">
        <f t="shared" si="5"/>
        <v>nem</v>
      </c>
    </row>
    <row r="5" spans="1:28" x14ac:dyDescent="0.25">
      <c r="A5" t="s">
        <v>25</v>
      </c>
      <c r="B5" t="s">
        <v>26</v>
      </c>
      <c r="C5">
        <v>47.057810000000003</v>
      </c>
      <c r="D5">
        <f t="shared" si="6"/>
        <v>0.82131372327791285</v>
      </c>
      <c r="E5">
        <v>9.8281668</v>
      </c>
      <c r="F5">
        <f>RADIANS(E5)</f>
        <v>0.17153387009519502</v>
      </c>
      <c r="G5">
        <f>ACOS(SIN(D5)*SIN($U$2)+COS(D5) * COS($U$2) * COS($V$2 - F5)) * 6371</f>
        <v>696.26354287343747</v>
      </c>
      <c r="H5" t="s">
        <v>27</v>
      </c>
      <c r="I5">
        <v>2110</v>
      </c>
      <c r="J5">
        <v>650</v>
      </c>
      <c r="K5">
        <v>13</v>
      </c>
      <c r="L5">
        <v>12</v>
      </c>
      <c r="M5">
        <v>1</v>
      </c>
      <c r="N5">
        <f t="shared" si="8"/>
        <v>26</v>
      </c>
      <c r="O5">
        <v>9</v>
      </c>
      <c r="P5" t="str">
        <f t="shared" si="9"/>
        <v>Nem</v>
      </c>
      <c r="R5" s="5" t="s">
        <v>10</v>
      </c>
      <c r="S5" s="10" t="str">
        <f>_xlfn.XLOOKUP(T5, I:I,A:A)</f>
        <v>Zermatt - Matterhorn</v>
      </c>
      <c r="T5" s="6">
        <f>MAX(I3:I357)</f>
        <v>3899</v>
      </c>
      <c r="W5" t="b">
        <f t="shared" si="0"/>
        <v>0</v>
      </c>
      <c r="X5" t="b">
        <f t="shared" si="1"/>
        <v>0</v>
      </c>
      <c r="Y5" t="b">
        <f t="shared" si="2"/>
        <v>0</v>
      </c>
      <c r="Z5" t="b">
        <f t="shared" si="3"/>
        <v>0</v>
      </c>
      <c r="AA5" t="b">
        <f t="shared" si="4"/>
        <v>0</v>
      </c>
      <c r="AB5" t="str">
        <f t="shared" si="5"/>
        <v>nem</v>
      </c>
    </row>
    <row r="6" spans="1:28" ht="15.75" thickBot="1" x14ac:dyDescent="0.3">
      <c r="A6" t="s">
        <v>28</v>
      </c>
      <c r="B6" t="s">
        <v>20</v>
      </c>
      <c r="C6">
        <v>61.230368599999998</v>
      </c>
      <c r="D6">
        <f t="shared" si="6"/>
        <v>1.0686715342797508</v>
      </c>
      <c r="E6">
        <v>10.52901357</v>
      </c>
      <c r="F6">
        <f t="shared" si="7"/>
        <v>0.18376595378366245</v>
      </c>
      <c r="G6">
        <f t="shared" ref="G6:G68" si="10">ACOS(SIN(D6)*SIN($U$2)+COS(D6) * COS($U$2) * COS($V$2 - F6)) * 6371</f>
        <v>1620.2953552007484</v>
      </c>
      <c r="H6" t="s">
        <v>23</v>
      </c>
      <c r="I6">
        <v>1030</v>
      </c>
      <c r="J6">
        <v>195</v>
      </c>
      <c r="K6">
        <v>33</v>
      </c>
      <c r="L6">
        <v>7</v>
      </c>
      <c r="M6">
        <v>4</v>
      </c>
      <c r="N6">
        <f t="shared" si="8"/>
        <v>44</v>
      </c>
      <c r="O6">
        <v>6</v>
      </c>
      <c r="P6" t="str">
        <f t="shared" si="9"/>
        <v>Nem</v>
      </c>
      <c r="R6" s="7" t="s">
        <v>5</v>
      </c>
      <c r="S6" s="11" t="s">
        <v>43</v>
      </c>
      <c r="T6" s="8">
        <f>COUNTIF(B:B,S6)</f>
        <v>81</v>
      </c>
      <c r="W6" t="b">
        <f t="shared" si="0"/>
        <v>0</v>
      </c>
      <c r="X6" t="b">
        <f t="shared" si="1"/>
        <v>0</v>
      </c>
      <c r="Y6" t="b">
        <f t="shared" si="2"/>
        <v>0</v>
      </c>
      <c r="Z6" t="b">
        <f t="shared" si="3"/>
        <v>0</v>
      </c>
      <c r="AA6" t="b">
        <f t="shared" si="4"/>
        <v>0</v>
      </c>
      <c r="AB6" t="str">
        <f t="shared" si="5"/>
        <v>nem</v>
      </c>
    </row>
    <row r="7" spans="1:28" ht="15.75" thickTop="1" x14ac:dyDescent="0.25">
      <c r="A7" t="s">
        <v>29</v>
      </c>
      <c r="B7" t="s">
        <v>20</v>
      </c>
      <c r="C7">
        <v>60.6837065</v>
      </c>
      <c r="D7">
        <f t="shared" si="6"/>
        <v>1.0591304807388844</v>
      </c>
      <c r="E7">
        <v>6.4079048070000004</v>
      </c>
      <c r="F7">
        <f t="shared" si="7"/>
        <v>0.11183903703652179</v>
      </c>
      <c r="G7">
        <f t="shared" si="10"/>
        <v>1675.2413377118089</v>
      </c>
      <c r="H7" t="s">
        <v>21</v>
      </c>
      <c r="I7">
        <v>960</v>
      </c>
      <c r="J7">
        <v>284</v>
      </c>
      <c r="K7">
        <v>25</v>
      </c>
      <c r="L7">
        <v>4</v>
      </c>
      <c r="M7">
        <v>11</v>
      </c>
      <c r="N7">
        <f t="shared" si="8"/>
        <v>40</v>
      </c>
      <c r="O7">
        <v>0</v>
      </c>
      <c r="P7" t="str">
        <f t="shared" si="9"/>
        <v>Nem</v>
      </c>
      <c r="W7" t="b">
        <f t="shared" si="0"/>
        <v>0</v>
      </c>
      <c r="X7" t="b">
        <f t="shared" si="1"/>
        <v>0</v>
      </c>
      <c r="Y7" t="b">
        <f t="shared" si="2"/>
        <v>0</v>
      </c>
      <c r="Z7" t="b">
        <f t="shared" si="3"/>
        <v>0</v>
      </c>
      <c r="AA7" t="b">
        <f t="shared" si="4"/>
        <v>0</v>
      </c>
      <c r="AB7" t="str">
        <f t="shared" si="5"/>
        <v>nem</v>
      </c>
    </row>
    <row r="8" spans="1:28" x14ac:dyDescent="0.25">
      <c r="A8" t="s">
        <v>30</v>
      </c>
      <c r="B8" t="s">
        <v>31</v>
      </c>
      <c r="C8">
        <v>47.628372800000001</v>
      </c>
      <c r="D8">
        <f t="shared" si="6"/>
        <v>0.83127192272731076</v>
      </c>
      <c r="E8">
        <v>12.9205276</v>
      </c>
      <c r="F8">
        <f t="shared" si="7"/>
        <v>0.22550574771480089</v>
      </c>
      <c r="G8">
        <f t="shared" si="10"/>
        <v>459.28256102333501</v>
      </c>
      <c r="H8" t="s">
        <v>27</v>
      </c>
      <c r="I8">
        <v>1385</v>
      </c>
      <c r="J8">
        <v>1030</v>
      </c>
      <c r="K8">
        <v>4</v>
      </c>
      <c r="L8">
        <v>0</v>
      </c>
      <c r="M8">
        <v>0</v>
      </c>
      <c r="N8">
        <f t="shared" si="8"/>
        <v>4</v>
      </c>
      <c r="O8">
        <v>0</v>
      </c>
      <c r="P8" t="str">
        <f t="shared" si="9"/>
        <v>Nem</v>
      </c>
      <c r="W8" t="b">
        <f t="shared" si="0"/>
        <v>0</v>
      </c>
      <c r="X8" t="b">
        <f t="shared" si="1"/>
        <v>0</v>
      </c>
      <c r="Y8" t="b">
        <f t="shared" si="2"/>
        <v>0</v>
      </c>
      <c r="Z8" t="b">
        <f t="shared" si="3"/>
        <v>0</v>
      </c>
      <c r="AA8" t="b">
        <f t="shared" si="4"/>
        <v>0</v>
      </c>
      <c r="AB8" t="str">
        <f t="shared" si="5"/>
        <v>nem</v>
      </c>
    </row>
    <row r="9" spans="1:28" x14ac:dyDescent="0.25">
      <c r="A9" t="s">
        <v>32</v>
      </c>
      <c r="B9" t="s">
        <v>20</v>
      </c>
      <c r="C9">
        <v>60.216882300000002</v>
      </c>
      <c r="D9">
        <f t="shared" si="6"/>
        <v>1.0509828614208958</v>
      </c>
      <c r="E9">
        <v>6.4357871580000001</v>
      </c>
      <c r="F9">
        <f t="shared" si="7"/>
        <v>0.11232567586466852</v>
      </c>
      <c r="G9">
        <f t="shared" si="10"/>
        <v>1631.8984610776472</v>
      </c>
      <c r="H9" t="s">
        <v>33</v>
      </c>
      <c r="I9">
        <v>1460</v>
      </c>
      <c r="J9">
        <v>1200</v>
      </c>
      <c r="K9">
        <v>2</v>
      </c>
      <c r="L9">
        <v>2</v>
      </c>
      <c r="M9">
        <v>0</v>
      </c>
      <c r="N9">
        <f t="shared" si="8"/>
        <v>4</v>
      </c>
      <c r="O9">
        <v>0</v>
      </c>
      <c r="P9" t="str">
        <f t="shared" si="9"/>
        <v>Igen</v>
      </c>
      <c r="W9">
        <f>IFERROR(SEARCH("Jún",H9), FALSE)</f>
        <v>6</v>
      </c>
      <c r="X9">
        <f>IFERROR(SEARCH("Júl",H9), FALSE)</f>
        <v>11</v>
      </c>
      <c r="Y9">
        <f>IFERROR(SEARCH("Aug",H9), FALSE)</f>
        <v>16</v>
      </c>
      <c r="Z9" t="b">
        <f>IFERROR(SEARCH("Egész évben",H9), FALSE)</f>
        <v>0</v>
      </c>
      <c r="AA9" t="b">
        <f>OR(W9,X9,Y9,Z9)</f>
        <v>1</v>
      </c>
      <c r="AB9" t="str">
        <f>IF(AA9, "igen", "nem")</f>
        <v>igen</v>
      </c>
    </row>
    <row r="10" spans="1:28" x14ac:dyDescent="0.25">
      <c r="A10" t="s">
        <v>34</v>
      </c>
      <c r="B10" t="s">
        <v>31</v>
      </c>
      <c r="C10">
        <v>47.651306200000001</v>
      </c>
      <c r="D10">
        <f t="shared" si="6"/>
        <v>0.83167218606598758</v>
      </c>
      <c r="E10">
        <v>13.0589774</v>
      </c>
      <c r="F10">
        <f t="shared" si="7"/>
        <v>0.22792215257352855</v>
      </c>
      <c r="G10">
        <f t="shared" si="10"/>
        <v>448.89890533665147</v>
      </c>
      <c r="H10" t="s">
        <v>27</v>
      </c>
      <c r="I10">
        <v>1554</v>
      </c>
      <c r="J10">
        <v>1300</v>
      </c>
      <c r="K10">
        <v>7</v>
      </c>
      <c r="L10">
        <v>1</v>
      </c>
      <c r="M10">
        <v>0</v>
      </c>
      <c r="N10">
        <f t="shared" si="8"/>
        <v>8</v>
      </c>
      <c r="O10">
        <v>6</v>
      </c>
      <c r="P10" t="str">
        <f t="shared" si="9"/>
        <v>Nem</v>
      </c>
      <c r="W10" t="b">
        <f t="shared" ref="W10:W18" si="11">IFERROR(SEARCH("Jún",H10), FALSE)</f>
        <v>0</v>
      </c>
      <c r="X10" t="b">
        <f t="shared" ref="X10:X18" si="12">IFERROR(SEARCH("Júl",H10), FALSE)</f>
        <v>0</v>
      </c>
      <c r="Y10" t="b">
        <f t="shared" ref="Y10:Y18" si="13">IFERROR(SEARCH("Aug",H10), FALSE)</f>
        <v>0</v>
      </c>
      <c r="Z10" t="b">
        <f t="shared" ref="Z10:Z18" si="14">IFERROR(SEARCH("Egész évben",H10), FALSE)</f>
        <v>0</v>
      </c>
      <c r="AA10" t="b">
        <f t="shared" ref="AA10:AA18" si="15">OR(W10,X10,Y10,Z10)</f>
        <v>0</v>
      </c>
      <c r="AB10" t="str">
        <f t="shared" ref="AB10:AB73" si="16">IF(AA10, "igen", "nem")</f>
        <v>nem</v>
      </c>
    </row>
    <row r="11" spans="1:28" x14ac:dyDescent="0.25">
      <c r="A11" t="s">
        <v>35</v>
      </c>
      <c r="B11" t="s">
        <v>31</v>
      </c>
      <c r="C11">
        <v>47.674785999999997</v>
      </c>
      <c r="D11">
        <f t="shared" si="6"/>
        <v>0.83208198588369731</v>
      </c>
      <c r="E11">
        <v>11.554735000000001</v>
      </c>
      <c r="F11">
        <f t="shared" si="7"/>
        <v>0.20166816994542702</v>
      </c>
      <c r="G11">
        <f t="shared" si="10"/>
        <v>561.52756848718946</v>
      </c>
      <c r="H11" t="s">
        <v>27</v>
      </c>
      <c r="I11">
        <v>1712</v>
      </c>
      <c r="J11">
        <v>700</v>
      </c>
      <c r="K11">
        <v>8</v>
      </c>
      <c r="L11">
        <v>22</v>
      </c>
      <c r="M11">
        <v>4</v>
      </c>
      <c r="N11">
        <f t="shared" si="8"/>
        <v>34</v>
      </c>
      <c r="O11">
        <v>3</v>
      </c>
      <c r="P11" t="str">
        <f t="shared" si="9"/>
        <v>Nem</v>
      </c>
      <c r="W11" t="b">
        <f t="shared" si="11"/>
        <v>0</v>
      </c>
      <c r="X11" t="b">
        <f t="shared" si="12"/>
        <v>0</v>
      </c>
      <c r="Y11" t="b">
        <f t="shared" si="13"/>
        <v>0</v>
      </c>
      <c r="Z11" t="b">
        <f t="shared" si="14"/>
        <v>0</v>
      </c>
      <c r="AA11" t="b">
        <f t="shared" si="15"/>
        <v>0</v>
      </c>
      <c r="AB11" t="str">
        <f t="shared" si="16"/>
        <v>nem</v>
      </c>
    </row>
    <row r="12" spans="1:28" x14ac:dyDescent="0.25">
      <c r="A12" t="s">
        <v>36</v>
      </c>
      <c r="B12" t="s">
        <v>37</v>
      </c>
      <c r="C12">
        <v>45.963008850000001</v>
      </c>
      <c r="D12">
        <f t="shared" si="6"/>
        <v>0.80220583855579253</v>
      </c>
      <c r="E12">
        <v>7.715412186</v>
      </c>
      <c r="F12">
        <f t="shared" si="7"/>
        <v>0.13465934579419314</v>
      </c>
      <c r="G12">
        <f t="shared" si="10"/>
        <v>879.00765008014514</v>
      </c>
      <c r="H12" t="s">
        <v>38</v>
      </c>
      <c r="I12">
        <v>3899</v>
      </c>
      <c r="J12">
        <v>1562</v>
      </c>
      <c r="K12">
        <v>75</v>
      </c>
      <c r="L12">
        <v>220</v>
      </c>
      <c r="M12">
        <v>27</v>
      </c>
      <c r="N12">
        <f t="shared" si="8"/>
        <v>322</v>
      </c>
      <c r="O12">
        <v>16</v>
      </c>
      <c r="P12" t="str">
        <f t="shared" si="9"/>
        <v>Igen</v>
      </c>
      <c r="W12" t="b">
        <f t="shared" si="11"/>
        <v>0</v>
      </c>
      <c r="X12" t="b">
        <f t="shared" si="12"/>
        <v>0</v>
      </c>
      <c r="Y12" t="b">
        <f t="shared" si="13"/>
        <v>0</v>
      </c>
      <c r="Z12">
        <f t="shared" si="14"/>
        <v>1</v>
      </c>
      <c r="AA12" t="b">
        <f t="shared" si="15"/>
        <v>1</v>
      </c>
      <c r="AB12" t="str">
        <f t="shared" si="16"/>
        <v>igen</v>
      </c>
    </row>
    <row r="13" spans="1:28" x14ac:dyDescent="0.25">
      <c r="A13" t="s">
        <v>39</v>
      </c>
      <c r="B13" t="s">
        <v>40</v>
      </c>
      <c r="C13">
        <v>46.576642700000001</v>
      </c>
      <c r="D13">
        <f t="shared" si="6"/>
        <v>0.81291576963998147</v>
      </c>
      <c r="E13">
        <v>11.644421700000001</v>
      </c>
      <c r="F13">
        <f t="shared" si="7"/>
        <v>0.2032334981556754</v>
      </c>
      <c r="G13">
        <f t="shared" si="10"/>
        <v>569.52171939843811</v>
      </c>
      <c r="H13" t="s">
        <v>27</v>
      </c>
      <c r="I13">
        <v>2518</v>
      </c>
      <c r="J13">
        <v>1236</v>
      </c>
      <c r="K13">
        <v>52</v>
      </c>
      <c r="L13">
        <v>105</v>
      </c>
      <c r="M13">
        <v>18</v>
      </c>
      <c r="N13">
        <f t="shared" si="8"/>
        <v>175</v>
      </c>
      <c r="O13">
        <v>10</v>
      </c>
      <c r="P13" t="str">
        <f t="shared" si="9"/>
        <v>Nem</v>
      </c>
      <c r="W13" t="b">
        <f t="shared" si="11"/>
        <v>0</v>
      </c>
      <c r="X13" t="b">
        <f t="shared" si="12"/>
        <v>0</v>
      </c>
      <c r="Y13" t="b">
        <f t="shared" si="13"/>
        <v>0</v>
      </c>
      <c r="Z13" t="b">
        <f t="shared" si="14"/>
        <v>0</v>
      </c>
      <c r="AA13" t="b">
        <f t="shared" si="15"/>
        <v>0</v>
      </c>
      <c r="AB13" t="str">
        <f t="shared" si="16"/>
        <v>nem</v>
      </c>
    </row>
    <row r="14" spans="1:28" x14ac:dyDescent="0.25">
      <c r="A14" t="s">
        <v>41</v>
      </c>
      <c r="B14" t="s">
        <v>40</v>
      </c>
      <c r="C14">
        <v>45.859757399999999</v>
      </c>
      <c r="D14">
        <f t="shared" si="6"/>
        <v>0.8004037607958342</v>
      </c>
      <c r="E14">
        <v>7.7526156779999997</v>
      </c>
      <c r="F14">
        <f t="shared" si="7"/>
        <v>0.13530866922283252</v>
      </c>
      <c r="G14">
        <f t="shared" si="10"/>
        <v>879.33293837057784</v>
      </c>
      <c r="H14" t="s">
        <v>27</v>
      </c>
      <c r="I14">
        <v>3275</v>
      </c>
      <c r="J14">
        <v>1212</v>
      </c>
      <c r="K14">
        <v>23</v>
      </c>
      <c r="L14">
        <v>94</v>
      </c>
      <c r="M14">
        <v>15</v>
      </c>
      <c r="N14">
        <f t="shared" si="8"/>
        <v>132</v>
      </c>
      <c r="O14">
        <v>8</v>
      </c>
      <c r="P14" t="str">
        <f t="shared" si="9"/>
        <v>Nem</v>
      </c>
      <c r="W14" t="b">
        <f t="shared" si="11"/>
        <v>0</v>
      </c>
      <c r="X14" t="b">
        <f t="shared" si="12"/>
        <v>0</v>
      </c>
      <c r="Y14" t="b">
        <f t="shared" si="13"/>
        <v>0</v>
      </c>
      <c r="Z14" t="b">
        <f t="shared" si="14"/>
        <v>0</v>
      </c>
      <c r="AA14" t="b">
        <f t="shared" si="15"/>
        <v>0</v>
      </c>
      <c r="AB14" t="str">
        <f t="shared" si="16"/>
        <v>nem</v>
      </c>
    </row>
    <row r="15" spans="1:28" x14ac:dyDescent="0.25">
      <c r="A15" t="s">
        <v>42</v>
      </c>
      <c r="B15" t="s">
        <v>43</v>
      </c>
      <c r="C15">
        <v>46.155097699999999</v>
      </c>
      <c r="D15">
        <f t="shared" si="6"/>
        <v>0.80555842144466194</v>
      </c>
      <c r="E15">
        <v>6.6633312</v>
      </c>
      <c r="F15">
        <f t="shared" si="7"/>
        <v>0.11629706859086478</v>
      </c>
      <c r="G15">
        <f t="shared" si="10"/>
        <v>952.35039462530597</v>
      </c>
      <c r="H15" t="s">
        <v>27</v>
      </c>
      <c r="I15">
        <v>2466</v>
      </c>
      <c r="J15">
        <v>1000</v>
      </c>
      <c r="K15">
        <v>310</v>
      </c>
      <c r="L15">
        <v>210</v>
      </c>
      <c r="M15">
        <v>60</v>
      </c>
      <c r="N15">
        <f t="shared" si="8"/>
        <v>580</v>
      </c>
      <c r="O15">
        <v>0</v>
      </c>
      <c r="P15" t="str">
        <f t="shared" si="9"/>
        <v>Nem</v>
      </c>
      <c r="W15" t="b">
        <f t="shared" si="11"/>
        <v>0</v>
      </c>
      <c r="X15" t="b">
        <f t="shared" si="12"/>
        <v>0</v>
      </c>
      <c r="Y15" t="b">
        <f t="shared" si="13"/>
        <v>0</v>
      </c>
      <c r="Z15" t="b">
        <f t="shared" si="14"/>
        <v>0</v>
      </c>
      <c r="AA15" t="b">
        <f t="shared" si="15"/>
        <v>0</v>
      </c>
      <c r="AB15" t="str">
        <f t="shared" si="16"/>
        <v>nem</v>
      </c>
    </row>
    <row r="16" spans="1:28" x14ac:dyDescent="0.25">
      <c r="A16" t="s">
        <v>44</v>
      </c>
      <c r="B16" t="s">
        <v>43</v>
      </c>
      <c r="C16">
        <v>45.626476050000001</v>
      </c>
      <c r="D16">
        <f t="shared" si="6"/>
        <v>0.79633223315483692</v>
      </c>
      <c r="E16">
        <v>6.8529624150000004</v>
      </c>
      <c r="F16">
        <f t="shared" si="7"/>
        <v>0.11960675765717205</v>
      </c>
      <c r="G16">
        <f t="shared" si="10"/>
        <v>953.63821268749462</v>
      </c>
      <c r="H16" t="s">
        <v>27</v>
      </c>
      <c r="I16">
        <v>2641</v>
      </c>
      <c r="J16">
        <v>1176</v>
      </c>
      <c r="K16">
        <v>55</v>
      </c>
      <c r="L16">
        <v>83</v>
      </c>
      <c r="M16">
        <v>22</v>
      </c>
      <c r="N16">
        <f t="shared" si="8"/>
        <v>160</v>
      </c>
      <c r="O16">
        <v>11</v>
      </c>
      <c r="P16" t="str">
        <f t="shared" si="9"/>
        <v>Nem</v>
      </c>
      <c r="W16" t="b">
        <f t="shared" si="11"/>
        <v>0</v>
      </c>
      <c r="X16" t="b">
        <f t="shared" si="12"/>
        <v>0</v>
      </c>
      <c r="Y16" t="b">
        <f t="shared" si="13"/>
        <v>0</v>
      </c>
      <c r="Z16" t="b">
        <f t="shared" si="14"/>
        <v>0</v>
      </c>
      <c r="AA16" t="b">
        <f t="shared" si="15"/>
        <v>0</v>
      </c>
      <c r="AB16" t="str">
        <f t="shared" si="16"/>
        <v>nem</v>
      </c>
    </row>
    <row r="17" spans="1:28" x14ac:dyDescent="0.25">
      <c r="A17" t="s">
        <v>45</v>
      </c>
      <c r="B17" t="s">
        <v>46</v>
      </c>
      <c r="C17">
        <v>57.200996000000004</v>
      </c>
      <c r="D17">
        <f t="shared" si="6"/>
        <v>0.99834571562010643</v>
      </c>
      <c r="E17">
        <v>-3.247204</v>
      </c>
      <c r="F17">
        <f t="shared" si="7"/>
        <v>-5.6674401283929948E-2</v>
      </c>
      <c r="G17">
        <f t="shared" si="10"/>
        <v>1845.1508998047807</v>
      </c>
      <c r="H17" t="s">
        <v>27</v>
      </c>
      <c r="I17">
        <v>775</v>
      </c>
      <c r="J17">
        <v>637</v>
      </c>
      <c r="K17">
        <v>5</v>
      </c>
      <c r="L17">
        <v>9</v>
      </c>
      <c r="M17">
        <v>4</v>
      </c>
      <c r="N17">
        <f t="shared" si="8"/>
        <v>18</v>
      </c>
      <c r="O17">
        <v>0</v>
      </c>
      <c r="P17" t="str">
        <f t="shared" si="9"/>
        <v>Nem</v>
      </c>
      <c r="W17" t="b">
        <f t="shared" si="11"/>
        <v>0</v>
      </c>
      <c r="X17" t="b">
        <f t="shared" si="12"/>
        <v>0</v>
      </c>
      <c r="Y17" t="b">
        <f t="shared" si="13"/>
        <v>0</v>
      </c>
      <c r="Z17" t="b">
        <f t="shared" si="14"/>
        <v>0</v>
      </c>
      <c r="AA17" t="b">
        <f t="shared" si="15"/>
        <v>0</v>
      </c>
      <c r="AB17" t="str">
        <f t="shared" si="16"/>
        <v>nem</v>
      </c>
    </row>
    <row r="18" spans="1:28" x14ac:dyDescent="0.25">
      <c r="A18" t="s">
        <v>47</v>
      </c>
      <c r="B18" t="s">
        <v>43</v>
      </c>
      <c r="C18">
        <v>45.797082099999997</v>
      </c>
      <c r="D18">
        <f t="shared" si="6"/>
        <v>0.79930987045115898</v>
      </c>
      <c r="E18">
        <v>6.6891986929999998</v>
      </c>
      <c r="F18">
        <f t="shared" si="7"/>
        <v>0.11674854151295136</v>
      </c>
      <c r="G18">
        <f>ACOS(SIN(D18)*SIN($U$2)+COS(D18) * COS($U$2) * COS($V$2 - F18)) * 6371</f>
        <v>960.48517392945621</v>
      </c>
      <c r="H18" t="s">
        <v>27</v>
      </c>
      <c r="I18">
        <v>2437</v>
      </c>
      <c r="J18">
        <v>1164</v>
      </c>
      <c r="K18">
        <v>40</v>
      </c>
      <c r="L18">
        <v>60</v>
      </c>
      <c r="M18">
        <v>20</v>
      </c>
      <c r="N18">
        <f t="shared" si="8"/>
        <v>120</v>
      </c>
      <c r="O18">
        <v>0</v>
      </c>
      <c r="P18" t="str">
        <f t="shared" si="9"/>
        <v>Nem</v>
      </c>
      <c r="W18" t="b">
        <f t="shared" si="11"/>
        <v>0</v>
      </c>
      <c r="X18" t="b">
        <f t="shared" si="12"/>
        <v>0</v>
      </c>
      <c r="Y18" t="b">
        <f t="shared" si="13"/>
        <v>0</v>
      </c>
      <c r="Z18" t="b">
        <f t="shared" si="14"/>
        <v>0</v>
      </c>
      <c r="AA18" t="b">
        <f t="shared" si="15"/>
        <v>0</v>
      </c>
      <c r="AB18" t="str">
        <f t="shared" si="16"/>
        <v>nem</v>
      </c>
    </row>
    <row r="19" spans="1:28" x14ac:dyDescent="0.25">
      <c r="A19" t="s">
        <v>48</v>
      </c>
      <c r="B19" t="s">
        <v>46</v>
      </c>
      <c r="C19">
        <v>56.852208099999999</v>
      </c>
      <c r="D19">
        <f t="shared" si="6"/>
        <v>0.99225821837398964</v>
      </c>
      <c r="E19">
        <v>-4.9987681000000004</v>
      </c>
      <c r="F19">
        <f t="shared" si="7"/>
        <v>-8.7244961888661168E-2</v>
      </c>
      <c r="G19">
        <f t="shared" si="10"/>
        <v>1925.807987355651</v>
      </c>
      <c r="H19" t="s">
        <v>27</v>
      </c>
      <c r="I19">
        <v>655</v>
      </c>
      <c r="J19">
        <v>91</v>
      </c>
      <c r="K19">
        <v>7</v>
      </c>
      <c r="L19">
        <v>10</v>
      </c>
      <c r="M19">
        <v>3</v>
      </c>
      <c r="N19">
        <f t="shared" si="8"/>
        <v>20</v>
      </c>
      <c r="O19">
        <v>0</v>
      </c>
      <c r="P19" t="str">
        <f t="shared" si="9"/>
        <v>Nem</v>
      </c>
      <c r="W19" t="b">
        <f t="shared" ref="W19:W32" si="17">IFERROR(SEARCH("Jún",H19), FALSE)</f>
        <v>0</v>
      </c>
      <c r="X19" t="b">
        <f t="shared" ref="X19:X32" si="18">IFERROR(SEARCH("Júl",H19), FALSE)</f>
        <v>0</v>
      </c>
      <c r="Y19" t="b">
        <f t="shared" ref="Y19:Y32" si="19">IFERROR(SEARCH("Aug",H19), FALSE)</f>
        <v>0</v>
      </c>
      <c r="Z19" t="b">
        <f t="shared" ref="Z19:Z32" si="20">IFERROR(SEARCH("Egész évben",H19), FALSE)</f>
        <v>0</v>
      </c>
      <c r="AA19" t="b">
        <f t="shared" ref="AA19:AA32" si="21">OR(W19,X19,Y19,Z19)</f>
        <v>0</v>
      </c>
      <c r="AB19" t="str">
        <f t="shared" si="16"/>
        <v>nem</v>
      </c>
    </row>
    <row r="20" spans="1:28" x14ac:dyDescent="0.25">
      <c r="A20" t="s">
        <v>49</v>
      </c>
      <c r="B20" t="s">
        <v>40</v>
      </c>
      <c r="C20">
        <v>46.425463700000002</v>
      </c>
      <c r="D20">
        <f t="shared" si="6"/>
        <v>0.81027719833010903</v>
      </c>
      <c r="E20">
        <v>9.3898334509999994</v>
      </c>
      <c r="F20">
        <f t="shared" si="7"/>
        <v>0.16388350993385162</v>
      </c>
      <c r="G20">
        <f t="shared" si="10"/>
        <v>741.50206174020218</v>
      </c>
      <c r="H20" t="s">
        <v>23</v>
      </c>
      <c r="I20">
        <v>1550</v>
      </c>
      <c r="J20">
        <v>1082</v>
      </c>
      <c r="K20">
        <v>13</v>
      </c>
      <c r="L20">
        <v>28</v>
      </c>
      <c r="M20">
        <v>5</v>
      </c>
      <c r="N20">
        <f t="shared" si="8"/>
        <v>46</v>
      </c>
      <c r="O20">
        <v>0</v>
      </c>
      <c r="P20" t="str">
        <f t="shared" si="9"/>
        <v>Nem</v>
      </c>
      <c r="W20" t="b">
        <f t="shared" si="17"/>
        <v>0</v>
      </c>
      <c r="X20" t="b">
        <f t="shared" si="18"/>
        <v>0</v>
      </c>
      <c r="Y20" t="b">
        <f t="shared" si="19"/>
        <v>0</v>
      </c>
      <c r="Z20" t="b">
        <f t="shared" si="20"/>
        <v>0</v>
      </c>
      <c r="AA20" t="b">
        <f t="shared" si="21"/>
        <v>0</v>
      </c>
      <c r="AB20" t="str">
        <f t="shared" si="16"/>
        <v>nem</v>
      </c>
    </row>
    <row r="21" spans="1:28" x14ac:dyDescent="0.25">
      <c r="A21" t="s">
        <v>50</v>
      </c>
      <c r="B21" t="s">
        <v>40</v>
      </c>
      <c r="C21">
        <v>45.7162875</v>
      </c>
      <c r="D21">
        <f t="shared" si="6"/>
        <v>0.7978997386633272</v>
      </c>
      <c r="E21">
        <v>6.9486119000000004</v>
      </c>
      <c r="F21">
        <f t="shared" si="7"/>
        <v>0.12127615609825898</v>
      </c>
      <c r="G21">
        <f t="shared" si="10"/>
        <v>943.64738388468913</v>
      </c>
      <c r="H21" t="s">
        <v>27</v>
      </c>
      <c r="I21">
        <v>2641</v>
      </c>
      <c r="J21">
        <v>1176</v>
      </c>
      <c r="K21">
        <v>55</v>
      </c>
      <c r="L21">
        <v>83</v>
      </c>
      <c r="M21">
        <v>22</v>
      </c>
      <c r="N21">
        <f t="shared" si="8"/>
        <v>160</v>
      </c>
      <c r="O21">
        <v>0</v>
      </c>
      <c r="P21" t="str">
        <f t="shared" si="9"/>
        <v>Nem</v>
      </c>
      <c r="W21" t="b">
        <f t="shared" si="17"/>
        <v>0</v>
      </c>
      <c r="X21" t="b">
        <f t="shared" si="18"/>
        <v>0</v>
      </c>
      <c r="Y21" t="b">
        <f t="shared" si="19"/>
        <v>0</v>
      </c>
      <c r="Z21" t="b">
        <f t="shared" si="20"/>
        <v>0</v>
      </c>
      <c r="AA21" t="b">
        <f t="shared" si="21"/>
        <v>0</v>
      </c>
      <c r="AB21" t="str">
        <f t="shared" si="16"/>
        <v>nem</v>
      </c>
    </row>
    <row r="22" spans="1:28" x14ac:dyDescent="0.25">
      <c r="A22" t="s">
        <v>51</v>
      </c>
      <c r="B22" t="s">
        <v>40</v>
      </c>
      <c r="C22">
        <v>46.520092599999998</v>
      </c>
      <c r="D22">
        <f t="shared" si="6"/>
        <v>0.81192878420264947</v>
      </c>
      <c r="E22">
        <v>10.1289555</v>
      </c>
      <c r="F22">
        <f t="shared" si="7"/>
        <v>0.17678362326298849</v>
      </c>
      <c r="G22">
        <f t="shared" si="10"/>
        <v>683.96715657742573</v>
      </c>
      <c r="H22" t="s">
        <v>21</v>
      </c>
      <c r="I22">
        <v>2798</v>
      </c>
      <c r="J22">
        <v>1816</v>
      </c>
      <c r="K22">
        <v>30</v>
      </c>
      <c r="L22">
        <v>65</v>
      </c>
      <c r="M22">
        <v>20</v>
      </c>
      <c r="N22">
        <f t="shared" si="8"/>
        <v>115</v>
      </c>
      <c r="O22">
        <v>6</v>
      </c>
      <c r="P22" t="str">
        <f t="shared" si="9"/>
        <v>Nem</v>
      </c>
      <c r="W22" t="b">
        <f t="shared" si="17"/>
        <v>0</v>
      </c>
      <c r="X22" t="b">
        <f t="shared" si="18"/>
        <v>0</v>
      </c>
      <c r="Y22" t="b">
        <f t="shared" si="19"/>
        <v>0</v>
      </c>
      <c r="Z22" t="b">
        <f t="shared" si="20"/>
        <v>0</v>
      </c>
      <c r="AA22" t="b">
        <f t="shared" si="21"/>
        <v>0</v>
      </c>
      <c r="AB22" t="str">
        <f t="shared" si="16"/>
        <v>nem</v>
      </c>
    </row>
    <row r="23" spans="1:28" x14ac:dyDescent="0.25">
      <c r="A23" t="s">
        <v>52</v>
      </c>
      <c r="B23" t="s">
        <v>40</v>
      </c>
      <c r="C23">
        <v>46.2269942</v>
      </c>
      <c r="D23">
        <f t="shared" si="6"/>
        <v>0.80681325209032206</v>
      </c>
      <c r="E23">
        <v>10.8270157</v>
      </c>
      <c r="F23">
        <f t="shared" si="7"/>
        <v>0.18896707213011862</v>
      </c>
      <c r="G23">
        <f t="shared" si="10"/>
        <v>639.90758933614961</v>
      </c>
      <c r="H23" t="s">
        <v>23</v>
      </c>
      <c r="I23">
        <v>2504</v>
      </c>
      <c r="J23">
        <v>770</v>
      </c>
      <c r="K23">
        <v>60</v>
      </c>
      <c r="L23">
        <v>68</v>
      </c>
      <c r="M23">
        <v>22</v>
      </c>
      <c r="N23">
        <f t="shared" si="8"/>
        <v>150</v>
      </c>
      <c r="O23">
        <v>5</v>
      </c>
      <c r="P23" t="str">
        <f t="shared" si="9"/>
        <v>Nem</v>
      </c>
      <c r="W23" t="b">
        <f t="shared" si="17"/>
        <v>0</v>
      </c>
      <c r="X23" t="b">
        <f t="shared" si="18"/>
        <v>0</v>
      </c>
      <c r="Y23" t="b">
        <f t="shared" si="19"/>
        <v>0</v>
      </c>
      <c r="Z23" t="b">
        <f t="shared" si="20"/>
        <v>0</v>
      </c>
      <c r="AA23" t="b">
        <f t="shared" si="21"/>
        <v>0</v>
      </c>
      <c r="AB23" t="str">
        <f t="shared" si="16"/>
        <v>nem</v>
      </c>
    </row>
    <row r="24" spans="1:28" x14ac:dyDescent="0.25">
      <c r="A24" t="s">
        <v>53</v>
      </c>
      <c r="B24" t="s">
        <v>26</v>
      </c>
      <c r="C24">
        <v>47.333629299999998</v>
      </c>
      <c r="D24">
        <f t="shared" si="6"/>
        <v>0.82612767820345878</v>
      </c>
      <c r="E24">
        <v>13.303153200000001</v>
      </c>
      <c r="F24">
        <f t="shared" si="7"/>
        <v>0.23218382423721973</v>
      </c>
      <c r="G24">
        <f t="shared" si="10"/>
        <v>431.96122642368482</v>
      </c>
      <c r="H24" t="s">
        <v>23</v>
      </c>
      <c r="I24">
        <v>1980</v>
      </c>
      <c r="J24">
        <v>740</v>
      </c>
      <c r="K24">
        <v>30</v>
      </c>
      <c r="L24">
        <v>81</v>
      </c>
      <c r="M24">
        <v>4</v>
      </c>
      <c r="N24">
        <f t="shared" si="8"/>
        <v>115</v>
      </c>
      <c r="O24">
        <v>6</v>
      </c>
      <c r="P24" t="str">
        <f t="shared" si="9"/>
        <v>Nem</v>
      </c>
      <c r="W24" t="b">
        <f t="shared" si="17"/>
        <v>0</v>
      </c>
      <c r="X24" t="b">
        <f t="shared" si="18"/>
        <v>0</v>
      </c>
      <c r="Y24" t="b">
        <f t="shared" si="19"/>
        <v>0</v>
      </c>
      <c r="Z24" t="b">
        <f t="shared" si="20"/>
        <v>0</v>
      </c>
      <c r="AA24" t="b">
        <f t="shared" si="21"/>
        <v>0</v>
      </c>
      <c r="AB24" t="str">
        <f t="shared" si="16"/>
        <v>nem</v>
      </c>
    </row>
    <row r="25" spans="1:28" x14ac:dyDescent="0.25">
      <c r="A25" t="s">
        <v>54</v>
      </c>
      <c r="B25" t="s">
        <v>26</v>
      </c>
      <c r="C25">
        <v>46.8774734</v>
      </c>
      <c r="D25">
        <f t="shared" si="6"/>
        <v>0.81816625584606084</v>
      </c>
      <c r="E25">
        <v>10.713620499999999</v>
      </c>
      <c r="F25">
        <f t="shared" si="7"/>
        <v>0.18698795253416114</v>
      </c>
      <c r="G25">
        <f t="shared" si="10"/>
        <v>632.68586265117654</v>
      </c>
      <c r="H25" t="s">
        <v>55</v>
      </c>
      <c r="I25">
        <v>3108</v>
      </c>
      <c r="J25">
        <v>2180</v>
      </c>
      <c r="K25">
        <v>14</v>
      </c>
      <c r="L25">
        <v>4</v>
      </c>
      <c r="M25">
        <v>2</v>
      </c>
      <c r="N25">
        <f t="shared" si="8"/>
        <v>20</v>
      </c>
      <c r="O25">
        <v>5</v>
      </c>
      <c r="P25" t="str">
        <f t="shared" si="9"/>
        <v>Igen</v>
      </c>
      <c r="W25">
        <f t="shared" si="17"/>
        <v>50</v>
      </c>
      <c r="X25" t="b">
        <f t="shared" si="18"/>
        <v>0</v>
      </c>
      <c r="Y25" t="b">
        <f t="shared" si="19"/>
        <v>0</v>
      </c>
      <c r="Z25" t="b">
        <f t="shared" si="20"/>
        <v>0</v>
      </c>
      <c r="AA25" t="b">
        <f t="shared" si="21"/>
        <v>1</v>
      </c>
      <c r="AB25" t="str">
        <f t="shared" si="16"/>
        <v>igen</v>
      </c>
    </row>
    <row r="26" spans="1:28" x14ac:dyDescent="0.25">
      <c r="A26" t="s">
        <v>56</v>
      </c>
      <c r="B26" t="s">
        <v>26</v>
      </c>
      <c r="C26">
        <v>47.392906000000004</v>
      </c>
      <c r="D26">
        <f t="shared" si="6"/>
        <v>0.82716225178817582</v>
      </c>
      <c r="E26">
        <v>12.636085</v>
      </c>
      <c r="F26">
        <f t="shared" si="7"/>
        <v>0.22054128781186766</v>
      </c>
      <c r="G26">
        <f t="shared" si="10"/>
        <v>481.5991071814625</v>
      </c>
      <c r="H26" t="s">
        <v>23</v>
      </c>
      <c r="I26">
        <v>2096</v>
      </c>
      <c r="J26">
        <v>830</v>
      </c>
      <c r="K26">
        <v>140</v>
      </c>
      <c r="L26">
        <v>112</v>
      </c>
      <c r="M26">
        <v>18</v>
      </c>
      <c r="N26">
        <f t="shared" si="8"/>
        <v>270</v>
      </c>
      <c r="O26">
        <v>7</v>
      </c>
      <c r="P26" t="str">
        <f t="shared" si="9"/>
        <v>Nem</v>
      </c>
      <c r="W26" t="b">
        <f t="shared" si="17"/>
        <v>0</v>
      </c>
      <c r="X26" t="b">
        <f t="shared" si="18"/>
        <v>0</v>
      </c>
      <c r="Y26" t="b">
        <f t="shared" si="19"/>
        <v>0</v>
      </c>
      <c r="Z26" t="b">
        <f t="shared" si="20"/>
        <v>0</v>
      </c>
      <c r="AA26" t="b">
        <f t="shared" si="21"/>
        <v>0</v>
      </c>
      <c r="AB26" t="str">
        <f t="shared" si="16"/>
        <v>nem</v>
      </c>
    </row>
    <row r="27" spans="1:28" x14ac:dyDescent="0.25">
      <c r="A27" t="s">
        <v>57</v>
      </c>
      <c r="B27" t="s">
        <v>40</v>
      </c>
      <c r="C27">
        <v>44.954537999999999</v>
      </c>
      <c r="D27">
        <f t="shared" si="6"/>
        <v>0.78460470181290665</v>
      </c>
      <c r="E27">
        <v>6.8806580000000004</v>
      </c>
      <c r="F27">
        <f t="shared" si="7"/>
        <v>0.12009013680368801</v>
      </c>
      <c r="G27">
        <f t="shared" si="10"/>
        <v>976.01526527729288</v>
      </c>
      <c r="H27" t="s">
        <v>23</v>
      </c>
      <c r="I27">
        <v>2749</v>
      </c>
      <c r="J27">
        <v>1372</v>
      </c>
      <c r="K27">
        <v>96</v>
      </c>
      <c r="L27">
        <v>220</v>
      </c>
      <c r="M27">
        <v>84</v>
      </c>
      <c r="N27">
        <f t="shared" si="8"/>
        <v>400</v>
      </c>
      <c r="O27">
        <v>7</v>
      </c>
      <c r="P27" t="str">
        <f t="shared" si="9"/>
        <v>Nem</v>
      </c>
      <c r="W27" t="b">
        <f t="shared" si="17"/>
        <v>0</v>
      </c>
      <c r="X27" t="b">
        <f t="shared" si="18"/>
        <v>0</v>
      </c>
      <c r="Y27" t="b">
        <f t="shared" si="19"/>
        <v>0</v>
      </c>
      <c r="Z27" t="b">
        <f t="shared" si="20"/>
        <v>0</v>
      </c>
      <c r="AA27" t="b">
        <f t="shared" si="21"/>
        <v>0</v>
      </c>
      <c r="AB27" t="str">
        <f t="shared" si="16"/>
        <v>nem</v>
      </c>
    </row>
    <row r="28" spans="1:28" x14ac:dyDescent="0.25">
      <c r="A28" t="s">
        <v>58</v>
      </c>
      <c r="B28" t="s">
        <v>26</v>
      </c>
      <c r="C28">
        <v>47.4005419</v>
      </c>
      <c r="D28">
        <f t="shared" si="6"/>
        <v>0.82729552338452872</v>
      </c>
      <c r="E28">
        <v>11.860117600000001</v>
      </c>
      <c r="F28">
        <f t="shared" si="7"/>
        <v>0.20699810179372785</v>
      </c>
      <c r="G28">
        <f t="shared" si="10"/>
        <v>539.82417596574487</v>
      </c>
      <c r="H28" t="s">
        <v>59</v>
      </c>
      <c r="I28">
        <v>1280</v>
      </c>
      <c r="J28">
        <v>670</v>
      </c>
      <c r="K28">
        <v>1</v>
      </c>
      <c r="L28">
        <v>3</v>
      </c>
      <c r="M28">
        <v>0</v>
      </c>
      <c r="N28">
        <f t="shared" si="8"/>
        <v>4</v>
      </c>
      <c r="O28">
        <v>0</v>
      </c>
      <c r="P28" t="str">
        <f t="shared" si="9"/>
        <v>Nem</v>
      </c>
      <c r="W28" t="b">
        <f t="shared" si="17"/>
        <v>0</v>
      </c>
      <c r="X28" t="b">
        <f t="shared" si="18"/>
        <v>0</v>
      </c>
      <c r="Y28" t="b">
        <f t="shared" si="19"/>
        <v>0</v>
      </c>
      <c r="Z28" t="b">
        <f t="shared" si="20"/>
        <v>0</v>
      </c>
      <c r="AA28" t="b">
        <f t="shared" si="21"/>
        <v>0</v>
      </c>
      <c r="AB28" t="str">
        <f t="shared" si="16"/>
        <v>nem</v>
      </c>
    </row>
    <row r="29" spans="1:28" x14ac:dyDescent="0.25">
      <c r="A29" t="s">
        <v>60</v>
      </c>
      <c r="B29" t="s">
        <v>61</v>
      </c>
      <c r="C29">
        <v>42.541150049999999</v>
      </c>
      <c r="D29">
        <f t="shared" si="6"/>
        <v>0.7424831359574503</v>
      </c>
      <c r="E29">
        <v>1.733382094</v>
      </c>
      <c r="F29">
        <f t="shared" si="7"/>
        <v>3.0253224735413847E-2</v>
      </c>
      <c r="G29">
        <f t="shared" si="10"/>
        <v>1463.7504306834969</v>
      </c>
      <c r="H29" t="s">
        <v>23</v>
      </c>
      <c r="I29">
        <v>2640</v>
      </c>
      <c r="J29">
        <v>1710</v>
      </c>
      <c r="K29">
        <v>100</v>
      </c>
      <c r="L29">
        <v>77</v>
      </c>
      <c r="M29">
        <v>33</v>
      </c>
      <c r="N29">
        <f t="shared" si="8"/>
        <v>210</v>
      </c>
      <c r="O29">
        <v>6</v>
      </c>
      <c r="P29" t="str">
        <f t="shared" si="9"/>
        <v>Nem</v>
      </c>
      <c r="W29" t="b">
        <f t="shared" si="17"/>
        <v>0</v>
      </c>
      <c r="X29" t="b">
        <f t="shared" si="18"/>
        <v>0</v>
      </c>
      <c r="Y29" t="b">
        <f t="shared" si="19"/>
        <v>0</v>
      </c>
      <c r="Z29" t="b">
        <f t="shared" si="20"/>
        <v>0</v>
      </c>
      <c r="AA29" t="b">
        <f t="shared" si="21"/>
        <v>0</v>
      </c>
      <c r="AB29" t="str">
        <f t="shared" si="16"/>
        <v>nem</v>
      </c>
    </row>
    <row r="30" spans="1:28" x14ac:dyDescent="0.25">
      <c r="A30" t="s">
        <v>62</v>
      </c>
      <c r="B30" t="s">
        <v>37</v>
      </c>
      <c r="C30">
        <v>46.74122595</v>
      </c>
      <c r="D30">
        <f t="shared" si="6"/>
        <v>0.81578828924611446</v>
      </c>
      <c r="E30">
        <v>9.7980088930000004</v>
      </c>
      <c r="F30">
        <f t="shared" si="7"/>
        <v>0.1710075153225348</v>
      </c>
      <c r="G30">
        <f t="shared" si="10"/>
        <v>703.92838090207272</v>
      </c>
      <c r="H30" t="s">
        <v>59</v>
      </c>
      <c r="I30">
        <v>2490</v>
      </c>
      <c r="J30">
        <v>1454</v>
      </c>
      <c r="K30">
        <v>10</v>
      </c>
      <c r="L30">
        <v>22</v>
      </c>
      <c r="M30">
        <v>8</v>
      </c>
      <c r="N30">
        <f t="shared" si="8"/>
        <v>40</v>
      </c>
      <c r="O30">
        <v>7</v>
      </c>
      <c r="P30" t="str">
        <f t="shared" si="9"/>
        <v>Nem</v>
      </c>
      <c r="W30" t="b">
        <f t="shared" si="17"/>
        <v>0</v>
      </c>
      <c r="X30" t="b">
        <f t="shared" si="18"/>
        <v>0</v>
      </c>
      <c r="Y30" t="b">
        <f t="shared" si="19"/>
        <v>0</v>
      </c>
      <c r="Z30" t="b">
        <f t="shared" si="20"/>
        <v>0</v>
      </c>
      <c r="AA30" t="b">
        <f t="shared" si="21"/>
        <v>0</v>
      </c>
      <c r="AB30" t="str">
        <f t="shared" si="16"/>
        <v>nem</v>
      </c>
    </row>
    <row r="31" spans="1:28" x14ac:dyDescent="0.25">
      <c r="A31" t="s">
        <v>63</v>
      </c>
      <c r="B31" t="s">
        <v>37</v>
      </c>
      <c r="C31">
        <v>46.909722500000001</v>
      </c>
      <c r="D31">
        <f t="shared" si="6"/>
        <v>0.81872910882186567</v>
      </c>
      <c r="E31">
        <v>9.8774506780000007</v>
      </c>
      <c r="F31">
        <f t="shared" si="7"/>
        <v>0.17239403603444625</v>
      </c>
      <c r="G31">
        <f t="shared" si="10"/>
        <v>694.87613646479372</v>
      </c>
      <c r="H31" t="s">
        <v>59</v>
      </c>
      <c r="I31">
        <v>2611</v>
      </c>
      <c r="J31">
        <v>1142</v>
      </c>
      <c r="K31">
        <v>6</v>
      </c>
      <c r="L31">
        <v>9</v>
      </c>
      <c r="M31">
        <v>9</v>
      </c>
      <c r="N31">
        <f t="shared" si="8"/>
        <v>24</v>
      </c>
      <c r="O31">
        <v>8</v>
      </c>
      <c r="P31" t="str">
        <f t="shared" si="9"/>
        <v>Nem</v>
      </c>
      <c r="W31" t="b">
        <f t="shared" si="17"/>
        <v>0</v>
      </c>
      <c r="X31" t="b">
        <f t="shared" si="18"/>
        <v>0</v>
      </c>
      <c r="Y31" t="b">
        <f t="shared" si="19"/>
        <v>0</v>
      </c>
      <c r="Z31" t="b">
        <f t="shared" si="20"/>
        <v>0</v>
      </c>
      <c r="AA31" t="b">
        <f t="shared" si="21"/>
        <v>0</v>
      </c>
      <c r="AB31" t="str">
        <f t="shared" si="16"/>
        <v>nem</v>
      </c>
    </row>
    <row r="32" spans="1:28" x14ac:dyDescent="0.25">
      <c r="A32" t="s">
        <v>64</v>
      </c>
      <c r="B32" t="s">
        <v>37</v>
      </c>
      <c r="C32">
        <v>46.772399</v>
      </c>
      <c r="D32">
        <f t="shared" si="6"/>
        <v>0.81633236160650324</v>
      </c>
      <c r="E32">
        <v>9.8493405999999997</v>
      </c>
      <c r="F32">
        <f t="shared" si="7"/>
        <v>0.1719034226203538</v>
      </c>
      <c r="G32">
        <f t="shared" si="10"/>
        <v>699.47039965559452</v>
      </c>
      <c r="H32" t="s">
        <v>27</v>
      </c>
      <c r="I32">
        <v>2590</v>
      </c>
      <c r="J32">
        <v>1540</v>
      </c>
      <c r="K32">
        <v>25</v>
      </c>
      <c r="L32">
        <v>13</v>
      </c>
      <c r="M32">
        <v>2</v>
      </c>
      <c r="N32">
        <f t="shared" si="8"/>
        <v>40</v>
      </c>
      <c r="O32">
        <v>6</v>
      </c>
      <c r="P32" t="str">
        <f t="shared" si="9"/>
        <v>Nem</v>
      </c>
      <c r="W32" t="b">
        <f t="shared" si="17"/>
        <v>0</v>
      </c>
      <c r="X32" t="b">
        <f t="shared" si="18"/>
        <v>0</v>
      </c>
      <c r="Y32" t="b">
        <f t="shared" si="19"/>
        <v>0</v>
      </c>
      <c r="Z32" t="b">
        <f t="shared" si="20"/>
        <v>0</v>
      </c>
      <c r="AA32" t="b">
        <f t="shared" si="21"/>
        <v>0</v>
      </c>
      <c r="AB32" t="str">
        <f t="shared" si="16"/>
        <v>nem</v>
      </c>
    </row>
    <row r="33" spans="1:28" x14ac:dyDescent="0.25">
      <c r="A33" t="s">
        <v>65</v>
      </c>
      <c r="B33" t="s">
        <v>37</v>
      </c>
      <c r="C33">
        <v>46.351102099999999</v>
      </c>
      <c r="D33">
        <f t="shared" si="6"/>
        <v>0.8089793435730579</v>
      </c>
      <c r="E33">
        <v>7.1566435000000004</v>
      </c>
      <c r="F33">
        <f t="shared" si="7"/>
        <v>0.12490699246645082</v>
      </c>
      <c r="G33">
        <f t="shared" si="10"/>
        <v>910.50455988199167</v>
      </c>
      <c r="H33" t="s">
        <v>66</v>
      </c>
      <c r="I33">
        <v>3016</v>
      </c>
      <c r="J33">
        <v>1343</v>
      </c>
      <c r="K33">
        <v>9</v>
      </c>
      <c r="L33">
        <v>3</v>
      </c>
      <c r="M33">
        <v>12</v>
      </c>
      <c r="N33">
        <f t="shared" si="8"/>
        <v>24</v>
      </c>
      <c r="O33">
        <v>8</v>
      </c>
      <c r="P33" t="str">
        <f t="shared" si="9"/>
        <v>Nem</v>
      </c>
      <c r="W33" t="b">
        <f t="shared" ref="W33:W96" si="22">IFERROR(SEARCH("Jún",H33), FALSE)</f>
        <v>0</v>
      </c>
      <c r="X33" t="b">
        <f t="shared" ref="X33:X96" si="23">IFERROR(SEARCH("Júl",H33), FALSE)</f>
        <v>0</v>
      </c>
      <c r="Y33" t="b">
        <f t="shared" ref="Y33:Y96" si="24">IFERROR(SEARCH("Aug",H33), FALSE)</f>
        <v>0</v>
      </c>
      <c r="Z33" t="b">
        <f t="shared" ref="Z33:Z96" si="25">IFERROR(SEARCH("Egész évben",H33), FALSE)</f>
        <v>0</v>
      </c>
      <c r="AA33" t="b">
        <f t="shared" ref="AA33:AA96" si="26">OR(W33,X33,Y33,Z33)</f>
        <v>0</v>
      </c>
      <c r="AB33" t="str">
        <f t="shared" si="16"/>
        <v>nem</v>
      </c>
    </row>
    <row r="34" spans="1:28" x14ac:dyDescent="0.25">
      <c r="A34" t="s">
        <v>67</v>
      </c>
      <c r="B34" t="s">
        <v>26</v>
      </c>
      <c r="C34">
        <v>46.879426000000002</v>
      </c>
      <c r="D34">
        <f t="shared" si="6"/>
        <v>0.81820033514503532</v>
      </c>
      <c r="E34">
        <v>11.0387065</v>
      </c>
      <c r="F34">
        <f t="shared" si="7"/>
        <v>0.19266177358629943</v>
      </c>
      <c r="G34">
        <f t="shared" si="10"/>
        <v>608.27052803091703</v>
      </c>
      <c r="H34" t="s">
        <v>21</v>
      </c>
      <c r="I34">
        <v>3082</v>
      </c>
      <c r="J34">
        <v>1793</v>
      </c>
      <c r="K34">
        <v>35</v>
      </c>
      <c r="L34">
        <v>55</v>
      </c>
      <c r="M34">
        <v>20</v>
      </c>
      <c r="N34">
        <f t="shared" si="8"/>
        <v>110</v>
      </c>
      <c r="O34">
        <v>8</v>
      </c>
      <c r="P34" t="str">
        <f t="shared" si="9"/>
        <v>Nem</v>
      </c>
      <c r="W34" t="b">
        <f t="shared" si="22"/>
        <v>0</v>
      </c>
      <c r="X34" t="b">
        <f t="shared" si="23"/>
        <v>0</v>
      </c>
      <c r="Y34" t="b">
        <f t="shared" si="24"/>
        <v>0</v>
      </c>
      <c r="Z34" t="b">
        <f t="shared" si="25"/>
        <v>0</v>
      </c>
      <c r="AA34" t="b">
        <f t="shared" si="26"/>
        <v>0</v>
      </c>
      <c r="AB34" t="str">
        <f t="shared" si="16"/>
        <v>nem</v>
      </c>
    </row>
    <row r="35" spans="1:28" x14ac:dyDescent="0.25">
      <c r="A35" t="s">
        <v>68</v>
      </c>
      <c r="B35" t="s">
        <v>43</v>
      </c>
      <c r="C35">
        <v>45.009994900000002</v>
      </c>
      <c r="D35">
        <f t="shared" si="6"/>
        <v>0.78557260731085587</v>
      </c>
      <c r="E35">
        <v>6.1237608999999997</v>
      </c>
      <c r="F35">
        <f t="shared" si="7"/>
        <v>0.10687979030989121</v>
      </c>
      <c r="G35">
        <f t="shared" si="10"/>
        <v>1029.542206667913</v>
      </c>
      <c r="H35" t="s">
        <v>69</v>
      </c>
      <c r="I35">
        <v>3560</v>
      </c>
      <c r="J35">
        <v>1280</v>
      </c>
      <c r="K35">
        <v>110</v>
      </c>
      <c r="L35">
        <v>56</v>
      </c>
      <c r="M35">
        <v>34</v>
      </c>
      <c r="N35">
        <f t="shared" si="8"/>
        <v>200</v>
      </c>
      <c r="O35">
        <v>16</v>
      </c>
      <c r="P35" t="str">
        <f t="shared" si="9"/>
        <v>Igen</v>
      </c>
      <c r="W35">
        <f t="shared" si="22"/>
        <v>28</v>
      </c>
      <c r="X35">
        <f t="shared" si="23"/>
        <v>33</v>
      </c>
      <c r="Y35">
        <f t="shared" si="24"/>
        <v>38</v>
      </c>
      <c r="Z35" t="b">
        <f t="shared" si="25"/>
        <v>0</v>
      </c>
      <c r="AA35" t="b">
        <f t="shared" si="26"/>
        <v>1</v>
      </c>
      <c r="AB35" t="str">
        <f t="shared" si="16"/>
        <v>igen</v>
      </c>
    </row>
    <row r="36" spans="1:28" x14ac:dyDescent="0.25">
      <c r="A36" t="s">
        <v>70</v>
      </c>
      <c r="B36" t="s">
        <v>26</v>
      </c>
      <c r="C36">
        <v>46.995462000000003</v>
      </c>
      <c r="D36">
        <f t="shared" si="6"/>
        <v>0.82022554539587944</v>
      </c>
      <c r="E36">
        <v>11.14049</v>
      </c>
      <c r="F36">
        <f t="shared" si="7"/>
        <v>0.19443823078550307</v>
      </c>
      <c r="G36">
        <f t="shared" si="10"/>
        <v>598.65309100651064</v>
      </c>
      <c r="H36" t="s">
        <v>55</v>
      </c>
      <c r="I36">
        <v>3212</v>
      </c>
      <c r="J36">
        <v>1697</v>
      </c>
      <c r="K36">
        <v>19</v>
      </c>
      <c r="L36">
        <v>15</v>
      </c>
      <c r="M36">
        <v>4</v>
      </c>
      <c r="N36">
        <f t="shared" si="8"/>
        <v>38</v>
      </c>
      <c r="O36">
        <v>10</v>
      </c>
      <c r="P36" t="str">
        <f t="shared" si="9"/>
        <v>Igen</v>
      </c>
      <c r="W36">
        <f t="shared" si="22"/>
        <v>50</v>
      </c>
      <c r="X36" t="b">
        <f t="shared" si="23"/>
        <v>0</v>
      </c>
      <c r="Y36" t="b">
        <f t="shared" si="24"/>
        <v>0</v>
      </c>
      <c r="Z36" t="b">
        <f t="shared" si="25"/>
        <v>0</v>
      </c>
      <c r="AA36" t="b">
        <f t="shared" si="26"/>
        <v>1</v>
      </c>
      <c r="AB36" t="str">
        <f t="shared" si="16"/>
        <v>igen</v>
      </c>
    </row>
    <row r="37" spans="1:28" x14ac:dyDescent="0.25">
      <c r="A37" t="s">
        <v>71</v>
      </c>
      <c r="B37" t="s">
        <v>43</v>
      </c>
      <c r="C37">
        <v>45.458033100000002</v>
      </c>
      <c r="D37">
        <f t="shared" si="6"/>
        <v>0.79339234907556477</v>
      </c>
      <c r="E37">
        <v>6.9188357390000004</v>
      </c>
      <c r="F37">
        <f t="shared" si="7"/>
        <v>0.12075646405020506</v>
      </c>
      <c r="G37">
        <f t="shared" si="10"/>
        <v>954.38825277973797</v>
      </c>
      <c r="H37" t="s">
        <v>72</v>
      </c>
      <c r="I37">
        <v>3456</v>
      </c>
      <c r="J37">
        <v>1550</v>
      </c>
      <c r="K37">
        <v>170</v>
      </c>
      <c r="L37">
        <v>78</v>
      </c>
      <c r="M37">
        <v>52</v>
      </c>
      <c r="N37">
        <f t="shared" si="8"/>
        <v>300</v>
      </c>
      <c r="O37">
        <v>6</v>
      </c>
      <c r="P37" t="str">
        <f t="shared" si="9"/>
        <v>Igen</v>
      </c>
      <c r="W37">
        <f t="shared" si="22"/>
        <v>38</v>
      </c>
      <c r="X37">
        <f t="shared" si="23"/>
        <v>43</v>
      </c>
      <c r="Y37">
        <f t="shared" si="24"/>
        <v>48</v>
      </c>
      <c r="Z37" t="b">
        <f t="shared" si="25"/>
        <v>0</v>
      </c>
      <c r="AA37" t="b">
        <f t="shared" si="26"/>
        <v>1</v>
      </c>
      <c r="AB37" t="str">
        <f t="shared" si="16"/>
        <v>igen</v>
      </c>
    </row>
    <row r="38" spans="1:28" x14ac:dyDescent="0.25">
      <c r="A38" t="s">
        <v>73</v>
      </c>
      <c r="B38" t="s">
        <v>43</v>
      </c>
      <c r="C38">
        <v>45.504298550000001</v>
      </c>
      <c r="D38">
        <f t="shared" si="6"/>
        <v>0.79419983350798162</v>
      </c>
      <c r="E38">
        <v>6.7049122529999998</v>
      </c>
      <c r="F38">
        <f t="shared" si="7"/>
        <v>0.11702279487216105</v>
      </c>
      <c r="G38">
        <f t="shared" si="10"/>
        <v>968.68411785002775</v>
      </c>
      <c r="H38" t="s">
        <v>27</v>
      </c>
      <c r="I38">
        <v>3167</v>
      </c>
      <c r="J38">
        <v>1207</v>
      </c>
      <c r="K38">
        <v>139</v>
      </c>
      <c r="L38">
        <v>59</v>
      </c>
      <c r="M38">
        <v>27</v>
      </c>
      <c r="N38">
        <f t="shared" si="8"/>
        <v>225</v>
      </c>
      <c r="O38">
        <v>6</v>
      </c>
      <c r="P38" t="str">
        <f t="shared" si="9"/>
        <v>Nem</v>
      </c>
      <c r="W38" t="b">
        <f t="shared" si="22"/>
        <v>0</v>
      </c>
      <c r="X38" t="b">
        <f t="shared" si="23"/>
        <v>0</v>
      </c>
      <c r="Y38" t="b">
        <f t="shared" si="24"/>
        <v>0</v>
      </c>
      <c r="Z38" t="b">
        <f t="shared" si="25"/>
        <v>0</v>
      </c>
      <c r="AA38" t="b">
        <f t="shared" si="26"/>
        <v>0</v>
      </c>
      <c r="AB38" t="str">
        <f t="shared" si="16"/>
        <v>nem</v>
      </c>
    </row>
    <row r="39" spans="1:28" x14ac:dyDescent="0.25">
      <c r="A39" t="s">
        <v>74</v>
      </c>
      <c r="B39" t="s">
        <v>43</v>
      </c>
      <c r="C39">
        <v>44.514002400000003</v>
      </c>
      <c r="D39">
        <f t="shared" si="6"/>
        <v>0.776915905120658</v>
      </c>
      <c r="E39">
        <v>6.5510313</v>
      </c>
      <c r="F39">
        <f t="shared" si="7"/>
        <v>0.11433706558620441</v>
      </c>
      <c r="G39">
        <f t="shared" si="10"/>
        <v>1018.6915090860405</v>
      </c>
      <c r="H39" t="s">
        <v>27</v>
      </c>
      <c r="I39">
        <v>2720</v>
      </c>
      <c r="J39">
        <v>1550</v>
      </c>
      <c r="K39">
        <v>30</v>
      </c>
      <c r="L39">
        <v>60</v>
      </c>
      <c r="M39">
        <v>10</v>
      </c>
      <c r="N39">
        <f t="shared" si="8"/>
        <v>100</v>
      </c>
      <c r="O39">
        <v>0</v>
      </c>
      <c r="P39" t="str">
        <f t="shared" si="9"/>
        <v>Nem</v>
      </c>
      <c r="W39" t="b">
        <f t="shared" si="22"/>
        <v>0</v>
      </c>
      <c r="X39" t="b">
        <f t="shared" si="23"/>
        <v>0</v>
      </c>
      <c r="Y39" t="b">
        <f t="shared" si="24"/>
        <v>0</v>
      </c>
      <c r="Z39" t="b">
        <f t="shared" si="25"/>
        <v>0</v>
      </c>
      <c r="AA39" t="b">
        <f t="shared" si="26"/>
        <v>0</v>
      </c>
      <c r="AB39" t="str">
        <f t="shared" si="16"/>
        <v>nem</v>
      </c>
    </row>
    <row r="40" spans="1:28" x14ac:dyDescent="0.25">
      <c r="A40" t="s">
        <v>75</v>
      </c>
      <c r="B40" t="s">
        <v>43</v>
      </c>
      <c r="C40">
        <v>45.789079999999998</v>
      </c>
      <c r="D40">
        <f t="shared" si="6"/>
        <v>0.79917020745908518</v>
      </c>
      <c r="E40">
        <v>6.5540979999999998</v>
      </c>
      <c r="F40">
        <f t="shared" si="7"/>
        <v>0.11439058959837531</v>
      </c>
      <c r="G40">
        <f t="shared" si="10"/>
        <v>970.8065741970405</v>
      </c>
      <c r="H40" t="s">
        <v>27</v>
      </c>
      <c r="I40">
        <v>2069</v>
      </c>
      <c r="J40">
        <v>1000</v>
      </c>
      <c r="K40">
        <v>132</v>
      </c>
      <c r="L40">
        <v>49</v>
      </c>
      <c r="M40">
        <v>11</v>
      </c>
      <c r="N40">
        <f t="shared" si="8"/>
        <v>192</v>
      </c>
      <c r="O40">
        <v>7</v>
      </c>
      <c r="P40" t="str">
        <f t="shared" si="9"/>
        <v>Nem</v>
      </c>
      <c r="W40" t="b">
        <f t="shared" si="22"/>
        <v>0</v>
      </c>
      <c r="X40" t="b">
        <f t="shared" si="23"/>
        <v>0</v>
      </c>
      <c r="Y40" t="b">
        <f t="shared" si="24"/>
        <v>0</v>
      </c>
      <c r="Z40" t="b">
        <f t="shared" si="25"/>
        <v>0</v>
      </c>
      <c r="AA40" t="b">
        <f t="shared" si="26"/>
        <v>0</v>
      </c>
      <c r="AB40" t="str">
        <f t="shared" si="16"/>
        <v>nem</v>
      </c>
    </row>
    <row r="41" spans="1:28" x14ac:dyDescent="0.25">
      <c r="A41" t="s">
        <v>76</v>
      </c>
      <c r="B41" t="s">
        <v>43</v>
      </c>
      <c r="C41">
        <v>46.192543899999997</v>
      </c>
      <c r="D41">
        <f t="shared" si="6"/>
        <v>0.80621198092702229</v>
      </c>
      <c r="E41">
        <v>6.7702856999999996</v>
      </c>
      <c r="F41">
        <f t="shared" si="7"/>
        <v>0.11816377676568905</v>
      </c>
      <c r="G41">
        <f t="shared" si="10"/>
        <v>943.37440473235074</v>
      </c>
      <c r="H41" t="s">
        <v>27</v>
      </c>
      <c r="I41">
        <v>2466</v>
      </c>
      <c r="J41">
        <v>1000</v>
      </c>
      <c r="K41">
        <v>310</v>
      </c>
      <c r="L41">
        <v>210</v>
      </c>
      <c r="M41">
        <v>60</v>
      </c>
      <c r="N41">
        <f t="shared" si="8"/>
        <v>580</v>
      </c>
      <c r="O41">
        <v>0</v>
      </c>
      <c r="P41" t="str">
        <f t="shared" si="9"/>
        <v>Nem</v>
      </c>
      <c r="W41" t="b">
        <f t="shared" si="22"/>
        <v>0</v>
      </c>
      <c r="X41" t="b">
        <f t="shared" si="23"/>
        <v>0</v>
      </c>
      <c r="Y41" t="b">
        <f t="shared" si="24"/>
        <v>0</v>
      </c>
      <c r="Z41" t="b">
        <f t="shared" si="25"/>
        <v>0</v>
      </c>
      <c r="AA41" t="b">
        <f t="shared" si="26"/>
        <v>0</v>
      </c>
      <c r="AB41" t="str">
        <f t="shared" si="16"/>
        <v>nem</v>
      </c>
    </row>
    <row r="42" spans="1:28" x14ac:dyDescent="0.25">
      <c r="A42" t="s">
        <v>77</v>
      </c>
      <c r="B42" t="s">
        <v>43</v>
      </c>
      <c r="C42">
        <v>46.255038999999996</v>
      </c>
      <c r="D42">
        <f t="shared" si="6"/>
        <v>0.80730272618838539</v>
      </c>
      <c r="E42">
        <v>6.8436190000000003</v>
      </c>
      <c r="F42">
        <f t="shared" si="7"/>
        <v>0.11944368430204182</v>
      </c>
      <c r="G42">
        <f t="shared" si="10"/>
        <v>936.30477060534974</v>
      </c>
      <c r="H42" t="s">
        <v>27</v>
      </c>
      <c r="I42">
        <v>2466</v>
      </c>
      <c r="J42">
        <v>1000</v>
      </c>
      <c r="K42">
        <v>310</v>
      </c>
      <c r="L42">
        <v>210</v>
      </c>
      <c r="M42">
        <v>60</v>
      </c>
      <c r="N42">
        <f t="shared" si="8"/>
        <v>580</v>
      </c>
      <c r="O42">
        <v>0</v>
      </c>
      <c r="P42" t="str">
        <f t="shared" si="9"/>
        <v>Nem</v>
      </c>
      <c r="W42" t="b">
        <f t="shared" si="22"/>
        <v>0</v>
      </c>
      <c r="X42" t="b">
        <f t="shared" si="23"/>
        <v>0</v>
      </c>
      <c r="Y42" t="b">
        <f t="shared" si="24"/>
        <v>0</v>
      </c>
      <c r="Z42" t="b">
        <f t="shared" si="25"/>
        <v>0</v>
      </c>
      <c r="AA42" t="b">
        <f t="shared" si="26"/>
        <v>0</v>
      </c>
      <c r="AB42" t="str">
        <f t="shared" si="16"/>
        <v>nem</v>
      </c>
    </row>
    <row r="43" spans="1:28" x14ac:dyDescent="0.25">
      <c r="A43" t="s">
        <v>78</v>
      </c>
      <c r="B43" t="s">
        <v>43</v>
      </c>
      <c r="C43">
        <v>42.882313099999998</v>
      </c>
      <c r="D43">
        <f t="shared" si="6"/>
        <v>0.74843755446609639</v>
      </c>
      <c r="E43">
        <v>-0.1553793</v>
      </c>
      <c r="F43">
        <f t="shared" si="7"/>
        <v>-2.7118803744440251E-3</v>
      </c>
      <c r="G43">
        <f t="shared" si="10"/>
        <v>1584.488985047891</v>
      </c>
      <c r="H43" t="s">
        <v>23</v>
      </c>
      <c r="I43">
        <v>1360</v>
      </c>
      <c r="J43">
        <v>932</v>
      </c>
      <c r="K43">
        <v>21</v>
      </c>
      <c r="L43">
        <v>12</v>
      </c>
      <c r="M43">
        <v>3</v>
      </c>
      <c r="N43">
        <f t="shared" si="8"/>
        <v>36</v>
      </c>
      <c r="O43">
        <v>0</v>
      </c>
      <c r="P43" t="str">
        <f t="shared" si="9"/>
        <v>Nem</v>
      </c>
      <c r="W43" t="b">
        <f t="shared" si="22"/>
        <v>0</v>
      </c>
      <c r="X43" t="b">
        <f t="shared" si="23"/>
        <v>0</v>
      </c>
      <c r="Y43" t="b">
        <f t="shared" si="24"/>
        <v>0</v>
      </c>
      <c r="Z43" t="b">
        <f t="shared" si="25"/>
        <v>0</v>
      </c>
      <c r="AA43" t="b">
        <f t="shared" si="26"/>
        <v>0</v>
      </c>
      <c r="AB43" t="str">
        <f t="shared" si="16"/>
        <v>nem</v>
      </c>
    </row>
    <row r="44" spans="1:28" x14ac:dyDescent="0.25">
      <c r="A44" t="s">
        <v>79</v>
      </c>
      <c r="B44" t="s">
        <v>43</v>
      </c>
      <c r="C44">
        <v>42.851011399999997</v>
      </c>
      <c r="D44">
        <f t="shared" si="6"/>
        <v>0.74789123673962488</v>
      </c>
      <c r="E44">
        <v>-0.13992089999999999</v>
      </c>
      <c r="F44">
        <f t="shared" si="7"/>
        <v>-2.4420803973537338E-3</v>
      </c>
      <c r="G44">
        <f t="shared" si="10"/>
        <v>1584.8551947441031</v>
      </c>
      <c r="H44" t="s">
        <v>23</v>
      </c>
      <c r="I44">
        <v>1756</v>
      </c>
      <c r="J44">
        <v>1516</v>
      </c>
      <c r="K44">
        <v>3</v>
      </c>
      <c r="L44">
        <v>1</v>
      </c>
      <c r="M44">
        <v>0</v>
      </c>
      <c r="N44">
        <f t="shared" si="8"/>
        <v>4</v>
      </c>
      <c r="O44">
        <v>0</v>
      </c>
      <c r="P44" t="str">
        <f t="shared" si="9"/>
        <v>Nem</v>
      </c>
      <c r="W44" t="b">
        <f t="shared" si="22"/>
        <v>0</v>
      </c>
      <c r="X44" t="b">
        <f t="shared" si="23"/>
        <v>0</v>
      </c>
      <c r="Y44" t="b">
        <f t="shared" si="24"/>
        <v>0</v>
      </c>
      <c r="Z44" t="b">
        <f t="shared" si="25"/>
        <v>0</v>
      </c>
      <c r="AA44" t="b">
        <f t="shared" si="26"/>
        <v>0</v>
      </c>
      <c r="AB44" t="str">
        <f t="shared" si="16"/>
        <v>nem</v>
      </c>
    </row>
    <row r="45" spans="1:28" x14ac:dyDescent="0.25">
      <c r="A45" t="s">
        <v>80</v>
      </c>
      <c r="B45" t="s">
        <v>43</v>
      </c>
      <c r="C45">
        <v>45.045452500000003</v>
      </c>
      <c r="D45">
        <f t="shared" si="6"/>
        <v>0.78619145917571109</v>
      </c>
      <c r="E45">
        <v>6.3067222999999997</v>
      </c>
      <c r="F45">
        <f t="shared" si="7"/>
        <v>0.11007306914394957</v>
      </c>
      <c r="G45">
        <f t="shared" si="10"/>
        <v>1014.6853607588663</v>
      </c>
      <c r="H45" t="s">
        <v>27</v>
      </c>
      <c r="I45">
        <v>3534</v>
      </c>
      <c r="J45">
        <v>1470</v>
      </c>
      <c r="K45">
        <v>3</v>
      </c>
      <c r="L45">
        <v>0</v>
      </c>
      <c r="M45">
        <v>0</v>
      </c>
      <c r="N45">
        <f t="shared" si="8"/>
        <v>3</v>
      </c>
      <c r="O45">
        <v>0</v>
      </c>
      <c r="P45" t="str">
        <f t="shared" si="9"/>
        <v>Nem</v>
      </c>
      <c r="W45" t="b">
        <f t="shared" si="22"/>
        <v>0</v>
      </c>
      <c r="X45" t="b">
        <f t="shared" si="23"/>
        <v>0</v>
      </c>
      <c r="Y45" t="b">
        <f t="shared" si="24"/>
        <v>0</v>
      </c>
      <c r="Z45" t="b">
        <f t="shared" si="25"/>
        <v>0</v>
      </c>
      <c r="AA45" t="b">
        <f t="shared" si="26"/>
        <v>0</v>
      </c>
      <c r="AB45" t="str">
        <f t="shared" si="16"/>
        <v>nem</v>
      </c>
    </row>
    <row r="46" spans="1:28" x14ac:dyDescent="0.25">
      <c r="A46" t="s">
        <v>81</v>
      </c>
      <c r="B46" t="s">
        <v>43</v>
      </c>
      <c r="C46">
        <v>45.4140984</v>
      </c>
      <c r="D46">
        <f t="shared" si="6"/>
        <v>0.79262554390468876</v>
      </c>
      <c r="E46">
        <v>6.6349891999999997</v>
      </c>
      <c r="F46">
        <f t="shared" si="7"/>
        <v>0.11580240737426455</v>
      </c>
      <c r="G46">
        <f t="shared" si="10"/>
        <v>976.95665289022338</v>
      </c>
      <c r="H46" t="s">
        <v>21</v>
      </c>
      <c r="I46">
        <v>3230</v>
      </c>
      <c r="J46">
        <v>1110</v>
      </c>
      <c r="K46">
        <v>312</v>
      </c>
      <c r="L46">
        <v>216</v>
      </c>
      <c r="M46">
        <v>72</v>
      </c>
      <c r="N46">
        <f t="shared" si="8"/>
        <v>600</v>
      </c>
      <c r="O46">
        <v>12</v>
      </c>
      <c r="P46" t="str">
        <f t="shared" si="9"/>
        <v>Nem</v>
      </c>
      <c r="W46" t="b">
        <f t="shared" si="22"/>
        <v>0</v>
      </c>
      <c r="X46" t="b">
        <f t="shared" si="23"/>
        <v>0</v>
      </c>
      <c r="Y46" t="b">
        <f t="shared" si="24"/>
        <v>0</v>
      </c>
      <c r="Z46" t="b">
        <f t="shared" si="25"/>
        <v>0</v>
      </c>
      <c r="AA46" t="b">
        <f t="shared" si="26"/>
        <v>0</v>
      </c>
      <c r="AB46" t="str">
        <f t="shared" si="16"/>
        <v>nem</v>
      </c>
    </row>
    <row r="47" spans="1:28" x14ac:dyDescent="0.25">
      <c r="A47" t="s">
        <v>82</v>
      </c>
      <c r="B47" t="s">
        <v>43</v>
      </c>
      <c r="C47">
        <v>45.350387099999999</v>
      </c>
      <c r="D47">
        <f t="shared" si="6"/>
        <v>0.79151357194896288</v>
      </c>
      <c r="E47">
        <v>6.5000761369999998</v>
      </c>
      <c r="F47">
        <f t="shared" si="7"/>
        <v>0.11344773022096401</v>
      </c>
      <c r="G47">
        <f t="shared" si="10"/>
        <v>989.18514047480994</v>
      </c>
      <c r="H47" t="s">
        <v>21</v>
      </c>
      <c r="I47">
        <v>3230</v>
      </c>
      <c r="J47">
        <v>1110</v>
      </c>
      <c r="K47">
        <v>312</v>
      </c>
      <c r="L47">
        <v>216</v>
      </c>
      <c r="M47">
        <v>72</v>
      </c>
      <c r="N47">
        <f t="shared" si="8"/>
        <v>600</v>
      </c>
      <c r="O47">
        <v>0</v>
      </c>
      <c r="P47" t="str">
        <f t="shared" si="9"/>
        <v>Nem</v>
      </c>
      <c r="W47" t="b">
        <f t="shared" si="22"/>
        <v>0</v>
      </c>
      <c r="X47" t="b">
        <f t="shared" si="23"/>
        <v>0</v>
      </c>
      <c r="Y47" t="b">
        <f t="shared" si="24"/>
        <v>0</v>
      </c>
      <c r="Z47" t="b">
        <f t="shared" si="25"/>
        <v>0</v>
      </c>
      <c r="AA47" t="b">
        <f t="shared" si="26"/>
        <v>0</v>
      </c>
      <c r="AB47" t="str">
        <f t="shared" si="16"/>
        <v>nem</v>
      </c>
    </row>
    <row r="48" spans="1:28" x14ac:dyDescent="0.25">
      <c r="A48" t="s">
        <v>83</v>
      </c>
      <c r="B48" t="s">
        <v>43</v>
      </c>
      <c r="C48">
        <v>45.092401000000002</v>
      </c>
      <c r="D48">
        <f t="shared" si="6"/>
        <v>0.78701086507958362</v>
      </c>
      <c r="E48">
        <v>6.0699443000000004</v>
      </c>
      <c r="F48">
        <f t="shared" si="7"/>
        <v>0.10594051344766245</v>
      </c>
      <c r="G48">
        <f t="shared" si="10"/>
        <v>1030.3950019825093</v>
      </c>
      <c r="H48" t="s">
        <v>27</v>
      </c>
      <c r="I48">
        <v>3330</v>
      </c>
      <c r="J48">
        <v>1125</v>
      </c>
      <c r="K48">
        <v>70</v>
      </c>
      <c r="L48">
        <v>130</v>
      </c>
      <c r="M48">
        <v>50</v>
      </c>
      <c r="N48">
        <f t="shared" si="8"/>
        <v>250</v>
      </c>
      <c r="O48">
        <v>16</v>
      </c>
      <c r="P48" t="str">
        <f t="shared" si="9"/>
        <v>Nem</v>
      </c>
      <c r="W48" t="b">
        <f t="shared" si="22"/>
        <v>0</v>
      </c>
      <c r="X48" t="b">
        <f t="shared" si="23"/>
        <v>0</v>
      </c>
      <c r="Y48" t="b">
        <f t="shared" si="24"/>
        <v>0</v>
      </c>
      <c r="Z48" t="b">
        <f t="shared" si="25"/>
        <v>0</v>
      </c>
      <c r="AA48" t="b">
        <f t="shared" si="26"/>
        <v>0</v>
      </c>
      <c r="AB48" t="str">
        <f t="shared" si="16"/>
        <v>nem</v>
      </c>
    </row>
    <row r="49" spans="1:28" x14ac:dyDescent="0.25">
      <c r="A49" t="s">
        <v>84</v>
      </c>
      <c r="B49" t="s">
        <v>43</v>
      </c>
      <c r="C49">
        <v>45.432169000000002</v>
      </c>
      <c r="D49">
        <f t="shared" si="6"/>
        <v>0.79294093537249966</v>
      </c>
      <c r="E49">
        <v>6.5963992999999999</v>
      </c>
      <c r="F49">
        <f t="shared" si="7"/>
        <v>0.11512888656124919</v>
      </c>
      <c r="G49">
        <f t="shared" si="10"/>
        <v>979.19571652741627</v>
      </c>
      <c r="H49" t="s">
        <v>21</v>
      </c>
      <c r="I49">
        <v>3230</v>
      </c>
      <c r="J49">
        <v>1110</v>
      </c>
      <c r="K49">
        <v>312</v>
      </c>
      <c r="L49">
        <v>216</v>
      </c>
      <c r="M49">
        <v>72</v>
      </c>
      <c r="N49">
        <f t="shared" si="8"/>
        <v>600</v>
      </c>
      <c r="O49">
        <v>0</v>
      </c>
      <c r="P49" t="str">
        <f t="shared" si="9"/>
        <v>Nem</v>
      </c>
      <c r="W49" t="b">
        <f t="shared" si="22"/>
        <v>0</v>
      </c>
      <c r="X49" t="b">
        <f t="shared" si="23"/>
        <v>0</v>
      </c>
      <c r="Y49" t="b">
        <f t="shared" si="24"/>
        <v>0</v>
      </c>
      <c r="Z49" t="b">
        <f t="shared" si="25"/>
        <v>0</v>
      </c>
      <c r="AA49" t="b">
        <f t="shared" si="26"/>
        <v>0</v>
      </c>
      <c r="AB49" t="str">
        <f t="shared" si="16"/>
        <v>nem</v>
      </c>
    </row>
    <row r="50" spans="1:28" x14ac:dyDescent="0.25">
      <c r="A50" t="s">
        <v>85</v>
      </c>
      <c r="B50" t="s">
        <v>43</v>
      </c>
      <c r="C50">
        <v>45.590355000000002</v>
      </c>
      <c r="D50">
        <f t="shared" si="6"/>
        <v>0.7957018019030595</v>
      </c>
      <c r="E50">
        <v>6.8849093999999997</v>
      </c>
      <c r="F50">
        <f t="shared" si="7"/>
        <v>0.12016433773150728</v>
      </c>
      <c r="G50">
        <f t="shared" si="10"/>
        <v>952.44408577109027</v>
      </c>
      <c r="H50" t="s">
        <v>27</v>
      </c>
      <c r="I50">
        <v>2620</v>
      </c>
      <c r="J50">
        <v>1550</v>
      </c>
      <c r="K50">
        <v>10</v>
      </c>
      <c r="L50">
        <v>25</v>
      </c>
      <c r="M50">
        <v>6</v>
      </c>
      <c r="N50">
        <f t="shared" si="8"/>
        <v>41</v>
      </c>
      <c r="O50">
        <v>0</v>
      </c>
      <c r="P50" t="str">
        <f t="shared" si="9"/>
        <v>Nem</v>
      </c>
      <c r="W50" t="b">
        <f t="shared" si="22"/>
        <v>0</v>
      </c>
      <c r="X50" t="b">
        <f t="shared" si="23"/>
        <v>0</v>
      </c>
      <c r="Y50" t="b">
        <f t="shared" si="24"/>
        <v>0</v>
      </c>
      <c r="Z50" t="b">
        <f t="shared" si="25"/>
        <v>0</v>
      </c>
      <c r="AA50" t="b">
        <f t="shared" si="26"/>
        <v>0</v>
      </c>
      <c r="AB50" t="str">
        <f t="shared" si="16"/>
        <v>nem</v>
      </c>
    </row>
    <row r="51" spans="1:28" x14ac:dyDescent="0.25">
      <c r="A51" t="s">
        <v>86</v>
      </c>
      <c r="B51" t="s">
        <v>43</v>
      </c>
      <c r="C51">
        <v>43.462909699999997</v>
      </c>
      <c r="D51">
        <f t="shared" si="6"/>
        <v>0.75857087676198087</v>
      </c>
      <c r="E51">
        <v>6.4786269000000001</v>
      </c>
      <c r="F51">
        <f t="shared" si="7"/>
        <v>0.11307337041327342</v>
      </c>
      <c r="G51">
        <f t="shared" si="10"/>
        <v>1075.5805341139774</v>
      </c>
      <c r="H51" t="s">
        <v>27</v>
      </c>
      <c r="I51">
        <v>3226</v>
      </c>
      <c r="J51">
        <v>1200</v>
      </c>
      <c r="K51">
        <v>104</v>
      </c>
      <c r="L51">
        <v>70</v>
      </c>
      <c r="M51">
        <v>26</v>
      </c>
      <c r="N51">
        <f t="shared" si="8"/>
        <v>200</v>
      </c>
      <c r="O51">
        <v>7</v>
      </c>
      <c r="P51" t="str">
        <f t="shared" si="9"/>
        <v>Nem</v>
      </c>
      <c r="W51" t="b">
        <f t="shared" si="22"/>
        <v>0</v>
      </c>
      <c r="X51" t="b">
        <f t="shared" si="23"/>
        <v>0</v>
      </c>
      <c r="Y51" t="b">
        <f t="shared" si="24"/>
        <v>0</v>
      </c>
      <c r="Z51" t="b">
        <f t="shared" si="25"/>
        <v>0</v>
      </c>
      <c r="AA51" t="b">
        <f t="shared" si="26"/>
        <v>0</v>
      </c>
      <c r="AB51" t="str">
        <f t="shared" si="16"/>
        <v>nem</v>
      </c>
    </row>
    <row r="52" spans="1:28" x14ac:dyDescent="0.25">
      <c r="A52" t="s">
        <v>87</v>
      </c>
      <c r="B52" t="s">
        <v>43</v>
      </c>
      <c r="C52">
        <v>44.929276999999999</v>
      </c>
      <c r="D52">
        <f t="shared" si="6"/>
        <v>0.78416381419056036</v>
      </c>
      <c r="E52">
        <v>6.7297260000000003</v>
      </c>
      <c r="F52">
        <f t="shared" si="7"/>
        <v>0.11745587645706793</v>
      </c>
      <c r="G52">
        <f t="shared" si="10"/>
        <v>988.1074018660978</v>
      </c>
      <c r="H52" t="s">
        <v>23</v>
      </c>
      <c r="I52">
        <v>2749</v>
      </c>
      <c r="J52">
        <v>1372</v>
      </c>
      <c r="K52">
        <v>96</v>
      </c>
      <c r="L52">
        <v>220</v>
      </c>
      <c r="M52">
        <v>84</v>
      </c>
      <c r="N52">
        <f t="shared" si="8"/>
        <v>400</v>
      </c>
      <c r="O52">
        <v>0</v>
      </c>
      <c r="P52" t="str">
        <f t="shared" si="9"/>
        <v>Nem</v>
      </c>
      <c r="W52" t="b">
        <f t="shared" si="22"/>
        <v>0</v>
      </c>
      <c r="X52" t="b">
        <f t="shared" si="23"/>
        <v>0</v>
      </c>
      <c r="Y52" t="b">
        <f t="shared" si="24"/>
        <v>0</v>
      </c>
      <c r="Z52" t="b">
        <f t="shared" si="25"/>
        <v>0</v>
      </c>
      <c r="AA52" t="b">
        <f t="shared" si="26"/>
        <v>0</v>
      </c>
      <c r="AB52" t="str">
        <f t="shared" si="16"/>
        <v>nem</v>
      </c>
    </row>
    <row r="53" spans="1:28" x14ac:dyDescent="0.25">
      <c r="A53" t="s">
        <v>88</v>
      </c>
      <c r="B53" t="s">
        <v>43</v>
      </c>
      <c r="C53">
        <v>45.371686400000002</v>
      </c>
      <c r="D53">
        <f t="shared" si="6"/>
        <v>0.79188531486233293</v>
      </c>
      <c r="E53">
        <v>7.0467944999999999</v>
      </c>
      <c r="F53">
        <f t="shared" si="7"/>
        <v>0.12298976573642756</v>
      </c>
      <c r="G53">
        <f t="shared" si="10"/>
        <v>947.94299940689029</v>
      </c>
      <c r="H53" t="s">
        <v>27</v>
      </c>
      <c r="I53">
        <v>3000</v>
      </c>
      <c r="J53">
        <v>1850</v>
      </c>
      <c r="K53">
        <v>13</v>
      </c>
      <c r="L53">
        <v>11</v>
      </c>
      <c r="M53">
        <v>1</v>
      </c>
      <c r="N53">
        <f t="shared" si="8"/>
        <v>25</v>
      </c>
      <c r="O53">
        <v>0</v>
      </c>
      <c r="P53" t="str">
        <f t="shared" si="9"/>
        <v>Nem</v>
      </c>
      <c r="W53" t="b">
        <f t="shared" si="22"/>
        <v>0</v>
      </c>
      <c r="X53" t="b">
        <f t="shared" si="23"/>
        <v>0</v>
      </c>
      <c r="Y53" t="b">
        <f t="shared" si="24"/>
        <v>0</v>
      </c>
      <c r="Z53" t="b">
        <f t="shared" si="25"/>
        <v>0</v>
      </c>
      <c r="AA53" t="b">
        <f t="shared" si="26"/>
        <v>0</v>
      </c>
      <c r="AB53" t="str">
        <f t="shared" si="16"/>
        <v>nem</v>
      </c>
    </row>
    <row r="54" spans="1:28" x14ac:dyDescent="0.25">
      <c r="A54" t="s">
        <v>89</v>
      </c>
      <c r="B54" t="s">
        <v>43</v>
      </c>
      <c r="C54">
        <v>45.297910899999998</v>
      </c>
      <c r="D54">
        <f t="shared" si="6"/>
        <v>0.79059768948002784</v>
      </c>
      <c r="E54">
        <v>6.5822693000000001</v>
      </c>
      <c r="F54">
        <f t="shared" si="7"/>
        <v>0.11488227153794239</v>
      </c>
      <c r="G54">
        <f t="shared" si="10"/>
        <v>984.96109281636359</v>
      </c>
      <c r="H54" t="s">
        <v>21</v>
      </c>
      <c r="I54">
        <v>3230</v>
      </c>
      <c r="J54">
        <v>1110</v>
      </c>
      <c r="K54">
        <v>312</v>
      </c>
      <c r="L54">
        <v>216</v>
      </c>
      <c r="M54">
        <v>72</v>
      </c>
      <c r="N54">
        <f t="shared" si="8"/>
        <v>600</v>
      </c>
      <c r="O54">
        <v>0</v>
      </c>
      <c r="P54" t="str">
        <f t="shared" si="9"/>
        <v>Nem</v>
      </c>
      <c r="W54" t="b">
        <f t="shared" si="22"/>
        <v>0</v>
      </c>
      <c r="X54" t="b">
        <f t="shared" si="23"/>
        <v>0</v>
      </c>
      <c r="Y54" t="b">
        <f t="shared" si="24"/>
        <v>0</v>
      </c>
      <c r="Z54" t="b">
        <f t="shared" si="25"/>
        <v>0</v>
      </c>
      <c r="AA54" t="b">
        <f t="shared" si="26"/>
        <v>0</v>
      </c>
      <c r="AB54" t="str">
        <f t="shared" si="16"/>
        <v>nem</v>
      </c>
    </row>
    <row r="55" spans="1:28" x14ac:dyDescent="0.25">
      <c r="A55" t="s">
        <v>90</v>
      </c>
      <c r="B55" t="s">
        <v>43</v>
      </c>
      <c r="C55">
        <v>44.910738100000003</v>
      </c>
      <c r="D55">
        <f t="shared" si="6"/>
        <v>0.78384024934586238</v>
      </c>
      <c r="E55">
        <v>6.5500281999999999</v>
      </c>
      <c r="F55">
        <f t="shared" si="7"/>
        <v>0.11431955818847765</v>
      </c>
      <c r="G55">
        <f t="shared" si="10"/>
        <v>1002.0472644120407</v>
      </c>
      <c r="H55" t="s">
        <v>27</v>
      </c>
      <c r="I55">
        <v>2800</v>
      </c>
      <c r="J55">
        <v>1200</v>
      </c>
      <c r="K55">
        <v>138</v>
      </c>
      <c r="L55">
        <v>80</v>
      </c>
      <c r="M55">
        <v>32</v>
      </c>
      <c r="N55">
        <f t="shared" si="8"/>
        <v>250</v>
      </c>
      <c r="O55">
        <v>9</v>
      </c>
      <c r="P55" t="str">
        <f t="shared" si="9"/>
        <v>Nem</v>
      </c>
      <c r="W55" t="b">
        <f t="shared" si="22"/>
        <v>0</v>
      </c>
      <c r="X55" t="b">
        <f t="shared" si="23"/>
        <v>0</v>
      </c>
      <c r="Y55" t="b">
        <f t="shared" si="24"/>
        <v>0</v>
      </c>
      <c r="Z55" t="b">
        <f t="shared" si="25"/>
        <v>0</v>
      </c>
      <c r="AA55" t="b">
        <f t="shared" si="26"/>
        <v>0</v>
      </c>
      <c r="AB55" t="str">
        <f t="shared" si="16"/>
        <v>nem</v>
      </c>
    </row>
    <row r="56" spans="1:28" x14ac:dyDescent="0.25">
      <c r="A56" t="s">
        <v>91</v>
      </c>
      <c r="B56" t="s">
        <v>37</v>
      </c>
      <c r="C56">
        <v>46.585098700000003</v>
      </c>
      <c r="D56">
        <f t="shared" si="6"/>
        <v>0.81306335468153024</v>
      </c>
      <c r="E56">
        <v>7.9608968000000004</v>
      </c>
      <c r="F56">
        <f t="shared" si="7"/>
        <v>0.13894386057148053</v>
      </c>
      <c r="G56">
        <f t="shared" si="10"/>
        <v>844.92360113668997</v>
      </c>
      <c r="H56" t="s">
        <v>23</v>
      </c>
      <c r="I56">
        <v>2320</v>
      </c>
      <c r="J56">
        <v>944</v>
      </c>
      <c r="K56">
        <v>33</v>
      </c>
      <c r="L56">
        <v>56</v>
      </c>
      <c r="M56">
        <v>13</v>
      </c>
      <c r="N56">
        <f t="shared" si="8"/>
        <v>102</v>
      </c>
      <c r="O56">
        <v>13</v>
      </c>
      <c r="P56" t="str">
        <f t="shared" si="9"/>
        <v>Nem</v>
      </c>
      <c r="W56" t="b">
        <f t="shared" si="22"/>
        <v>0</v>
      </c>
      <c r="X56" t="b">
        <f t="shared" si="23"/>
        <v>0</v>
      </c>
      <c r="Y56" t="b">
        <f t="shared" si="24"/>
        <v>0</v>
      </c>
      <c r="Z56" t="b">
        <f t="shared" si="25"/>
        <v>0</v>
      </c>
      <c r="AA56" t="b">
        <f t="shared" si="26"/>
        <v>0</v>
      </c>
      <c r="AB56" t="str">
        <f t="shared" si="16"/>
        <v>nem</v>
      </c>
    </row>
    <row r="57" spans="1:28" x14ac:dyDescent="0.25">
      <c r="A57" t="s">
        <v>92</v>
      </c>
      <c r="B57" t="s">
        <v>43</v>
      </c>
      <c r="C57">
        <v>46.285682700000002</v>
      </c>
      <c r="D57">
        <f t="shared" si="6"/>
        <v>0.80783755964837889</v>
      </c>
      <c r="E57">
        <v>4.7804099000000004</v>
      </c>
      <c r="F57">
        <f t="shared" si="7"/>
        <v>8.3433892349932884E-2</v>
      </c>
      <c r="G57">
        <f t="shared" si="10"/>
        <v>1090.3586782119476</v>
      </c>
      <c r="H57" t="s">
        <v>27</v>
      </c>
      <c r="I57">
        <v>2270</v>
      </c>
      <c r="J57">
        <v>1453</v>
      </c>
      <c r="K57">
        <v>13</v>
      </c>
      <c r="L57">
        <v>16</v>
      </c>
      <c r="M57">
        <v>0</v>
      </c>
      <c r="N57">
        <f t="shared" si="8"/>
        <v>29</v>
      </c>
      <c r="O57">
        <v>0</v>
      </c>
      <c r="P57" t="str">
        <f t="shared" si="9"/>
        <v>Nem</v>
      </c>
      <c r="W57" t="b">
        <f t="shared" si="22"/>
        <v>0</v>
      </c>
      <c r="X57" t="b">
        <f t="shared" si="23"/>
        <v>0</v>
      </c>
      <c r="Y57" t="b">
        <f t="shared" si="24"/>
        <v>0</v>
      </c>
      <c r="Z57" t="b">
        <f t="shared" si="25"/>
        <v>0</v>
      </c>
      <c r="AA57" t="b">
        <f t="shared" si="26"/>
        <v>0</v>
      </c>
      <c r="AB57" t="str">
        <f t="shared" si="16"/>
        <v>nem</v>
      </c>
    </row>
    <row r="58" spans="1:28" x14ac:dyDescent="0.25">
      <c r="A58" t="s">
        <v>93</v>
      </c>
      <c r="B58" t="s">
        <v>43</v>
      </c>
      <c r="C58">
        <v>45.977719299999997</v>
      </c>
      <c r="D58">
        <f t="shared" si="6"/>
        <v>0.80246258434274242</v>
      </c>
      <c r="E58">
        <v>6.9238925</v>
      </c>
      <c r="F58">
        <f t="shared" si="7"/>
        <v>0.12084472117914148</v>
      </c>
      <c r="G58">
        <f t="shared" si="10"/>
        <v>937.66874120824366</v>
      </c>
      <c r="H58" t="s">
        <v>94</v>
      </c>
      <c r="I58">
        <v>3275</v>
      </c>
      <c r="J58">
        <v>1252</v>
      </c>
      <c r="K58">
        <v>6</v>
      </c>
      <c r="L58">
        <v>9</v>
      </c>
      <c r="M58">
        <v>14</v>
      </c>
      <c r="N58">
        <f t="shared" si="8"/>
        <v>29</v>
      </c>
      <c r="O58">
        <v>6</v>
      </c>
      <c r="P58" t="str">
        <f t="shared" si="9"/>
        <v>Nem</v>
      </c>
      <c r="W58" t="b">
        <f t="shared" si="22"/>
        <v>0</v>
      </c>
      <c r="X58" t="b">
        <f t="shared" si="23"/>
        <v>0</v>
      </c>
      <c r="Y58" t="b">
        <f t="shared" si="24"/>
        <v>0</v>
      </c>
      <c r="Z58" t="b">
        <f t="shared" si="25"/>
        <v>0</v>
      </c>
      <c r="AA58" t="b">
        <f t="shared" si="26"/>
        <v>0</v>
      </c>
      <c r="AB58" t="str">
        <f t="shared" si="16"/>
        <v>nem</v>
      </c>
    </row>
    <row r="59" spans="1:28" x14ac:dyDescent="0.25">
      <c r="A59" t="s">
        <v>95</v>
      </c>
      <c r="B59" t="s">
        <v>61</v>
      </c>
      <c r="C59">
        <v>42.6271621</v>
      </c>
      <c r="D59">
        <f t="shared" si="6"/>
        <v>0.7439843294263403</v>
      </c>
      <c r="E59">
        <v>1.491260579</v>
      </c>
      <c r="F59">
        <f t="shared" si="7"/>
        <v>2.6027407108747007E-2</v>
      </c>
      <c r="G59">
        <f t="shared" si="10"/>
        <v>1476.8275528427723</v>
      </c>
      <c r="H59" t="s">
        <v>23</v>
      </c>
      <c r="I59">
        <v>2625</v>
      </c>
      <c r="J59">
        <v>1940</v>
      </c>
      <c r="K59">
        <v>13</v>
      </c>
      <c r="L59">
        <v>14</v>
      </c>
      <c r="M59">
        <v>3</v>
      </c>
      <c r="N59">
        <f t="shared" si="8"/>
        <v>30</v>
      </c>
      <c r="O59">
        <v>5</v>
      </c>
      <c r="P59" t="str">
        <f t="shared" si="9"/>
        <v>Nem</v>
      </c>
      <c r="W59" t="b">
        <f t="shared" si="22"/>
        <v>0</v>
      </c>
      <c r="X59" t="b">
        <f t="shared" si="23"/>
        <v>0</v>
      </c>
      <c r="Y59" t="b">
        <f t="shared" si="24"/>
        <v>0</v>
      </c>
      <c r="Z59" t="b">
        <f t="shared" si="25"/>
        <v>0</v>
      </c>
      <c r="AA59" t="b">
        <f t="shared" si="26"/>
        <v>0</v>
      </c>
      <c r="AB59" t="str">
        <f t="shared" si="16"/>
        <v>nem</v>
      </c>
    </row>
    <row r="60" spans="1:28" x14ac:dyDescent="0.25">
      <c r="A60" t="s">
        <v>96</v>
      </c>
      <c r="B60" t="s">
        <v>97</v>
      </c>
      <c r="C60">
        <v>66.170265599999993</v>
      </c>
      <c r="D60">
        <f t="shared" si="6"/>
        <v>1.1548890016391411</v>
      </c>
      <c r="E60">
        <v>29.131129099999999</v>
      </c>
      <c r="F60">
        <f t="shared" si="7"/>
        <v>0.50843411761853241</v>
      </c>
      <c r="G60">
        <f t="shared" si="10"/>
        <v>2158.719963848625</v>
      </c>
      <c r="H60" t="s">
        <v>98</v>
      </c>
      <c r="I60">
        <v>492</v>
      </c>
      <c r="J60">
        <v>291</v>
      </c>
      <c r="K60">
        <v>9</v>
      </c>
      <c r="L60">
        <v>7</v>
      </c>
      <c r="M60">
        <v>2</v>
      </c>
      <c r="N60">
        <f t="shared" si="8"/>
        <v>18</v>
      </c>
      <c r="O60">
        <v>1</v>
      </c>
      <c r="P60" t="str">
        <f t="shared" si="9"/>
        <v>Igen</v>
      </c>
      <c r="W60">
        <f t="shared" si="22"/>
        <v>43</v>
      </c>
      <c r="X60" t="b">
        <f t="shared" si="23"/>
        <v>0</v>
      </c>
      <c r="Y60" t="b">
        <f t="shared" si="24"/>
        <v>0</v>
      </c>
      <c r="Z60" t="b">
        <f t="shared" si="25"/>
        <v>0</v>
      </c>
      <c r="AA60" t="b">
        <f t="shared" si="26"/>
        <v>1</v>
      </c>
      <c r="AB60" t="str">
        <f t="shared" si="16"/>
        <v>igen</v>
      </c>
    </row>
    <row r="61" spans="1:28" x14ac:dyDescent="0.25">
      <c r="A61" t="s">
        <v>99</v>
      </c>
      <c r="B61" t="s">
        <v>97</v>
      </c>
      <c r="C61">
        <v>67.784405500000005</v>
      </c>
      <c r="D61">
        <f t="shared" si="6"/>
        <v>1.1830610574819533</v>
      </c>
      <c r="E61">
        <v>24.855728899999999</v>
      </c>
      <c r="F61">
        <f t="shared" si="7"/>
        <v>0.43381430728810838</v>
      </c>
      <c r="G61">
        <f t="shared" si="10"/>
        <v>2279.790362658679</v>
      </c>
      <c r="H61" t="s">
        <v>21</v>
      </c>
      <c r="I61">
        <v>531</v>
      </c>
      <c r="J61">
        <v>206</v>
      </c>
      <c r="K61">
        <v>15</v>
      </c>
      <c r="L61">
        <v>19</v>
      </c>
      <c r="M61">
        <v>2</v>
      </c>
      <c r="N61">
        <f t="shared" si="8"/>
        <v>36</v>
      </c>
      <c r="O61">
        <v>2</v>
      </c>
      <c r="P61" t="str">
        <f t="shared" si="9"/>
        <v>Nem</v>
      </c>
      <c r="W61" t="b">
        <f t="shared" si="22"/>
        <v>0</v>
      </c>
      <c r="X61" t="b">
        <f t="shared" si="23"/>
        <v>0</v>
      </c>
      <c r="Y61" t="b">
        <f t="shared" si="24"/>
        <v>0</v>
      </c>
      <c r="Z61" t="b">
        <f t="shared" si="25"/>
        <v>0</v>
      </c>
      <c r="AA61" t="b">
        <f t="shared" si="26"/>
        <v>0</v>
      </c>
      <c r="AB61" t="str">
        <f t="shared" si="16"/>
        <v>nem</v>
      </c>
    </row>
    <row r="62" spans="1:28" x14ac:dyDescent="0.25">
      <c r="A62" t="s">
        <v>100</v>
      </c>
      <c r="B62" t="s">
        <v>101</v>
      </c>
      <c r="C62">
        <v>46.485132</v>
      </c>
      <c r="D62">
        <f t="shared" si="6"/>
        <v>0.81131860662417676</v>
      </c>
      <c r="E62">
        <v>13.784395699999999</v>
      </c>
      <c r="F62">
        <f t="shared" si="7"/>
        <v>0.24058309036274853</v>
      </c>
      <c r="G62">
        <f t="shared" si="10"/>
        <v>414.14626518244444</v>
      </c>
      <c r="H62" t="s">
        <v>27</v>
      </c>
      <c r="I62">
        <v>1215</v>
      </c>
      <c r="J62">
        <v>800</v>
      </c>
      <c r="K62">
        <v>10</v>
      </c>
      <c r="L62">
        <v>8</v>
      </c>
      <c r="M62">
        <v>2</v>
      </c>
      <c r="N62">
        <f t="shared" si="8"/>
        <v>20</v>
      </c>
      <c r="O62">
        <v>2</v>
      </c>
      <c r="P62" t="str">
        <f t="shared" si="9"/>
        <v>Nem</v>
      </c>
      <c r="W62" t="b">
        <f t="shared" si="22"/>
        <v>0</v>
      </c>
      <c r="X62" t="b">
        <f t="shared" si="23"/>
        <v>0</v>
      </c>
      <c r="Y62" t="b">
        <f t="shared" si="24"/>
        <v>0</v>
      </c>
      <c r="Z62" t="b">
        <f t="shared" si="25"/>
        <v>0</v>
      </c>
      <c r="AA62" t="b">
        <f t="shared" si="26"/>
        <v>0</v>
      </c>
      <c r="AB62" t="str">
        <f t="shared" si="16"/>
        <v>nem</v>
      </c>
    </row>
    <row r="63" spans="1:28" x14ac:dyDescent="0.25">
      <c r="A63" t="s">
        <v>102</v>
      </c>
      <c r="B63" t="s">
        <v>61</v>
      </c>
      <c r="C63">
        <v>42.580333400000001</v>
      </c>
      <c r="D63">
        <f t="shared" si="6"/>
        <v>0.74316701442691169</v>
      </c>
      <c r="E63">
        <v>1.6496963</v>
      </c>
      <c r="F63">
        <f t="shared" si="7"/>
        <v>2.8792632092968132E-2</v>
      </c>
      <c r="G63">
        <f t="shared" si="10"/>
        <v>1467.7639558404223</v>
      </c>
      <c r="H63" t="s">
        <v>23</v>
      </c>
      <c r="I63">
        <v>2640</v>
      </c>
      <c r="J63">
        <v>1710</v>
      </c>
      <c r="K63">
        <v>100</v>
      </c>
      <c r="L63">
        <v>77</v>
      </c>
      <c r="M63">
        <v>33</v>
      </c>
      <c r="N63">
        <f t="shared" si="8"/>
        <v>210</v>
      </c>
      <c r="O63">
        <v>0</v>
      </c>
      <c r="P63" t="str">
        <f t="shared" si="9"/>
        <v>Nem</v>
      </c>
      <c r="W63" t="b">
        <f t="shared" si="22"/>
        <v>0</v>
      </c>
      <c r="X63" t="b">
        <f t="shared" si="23"/>
        <v>0</v>
      </c>
      <c r="Y63" t="b">
        <f t="shared" si="24"/>
        <v>0</v>
      </c>
      <c r="Z63" t="b">
        <f t="shared" si="25"/>
        <v>0</v>
      </c>
      <c r="AA63" t="b">
        <f t="shared" si="26"/>
        <v>0</v>
      </c>
      <c r="AB63" t="str">
        <f t="shared" si="16"/>
        <v>nem</v>
      </c>
    </row>
    <row r="64" spans="1:28" x14ac:dyDescent="0.25">
      <c r="A64" t="s">
        <v>103</v>
      </c>
      <c r="B64" t="s">
        <v>104</v>
      </c>
      <c r="C64">
        <v>41.834408600000003</v>
      </c>
      <c r="D64">
        <f t="shared" si="6"/>
        <v>0.73014817069463156</v>
      </c>
      <c r="E64">
        <v>23.4841698</v>
      </c>
      <c r="F64">
        <f t="shared" si="7"/>
        <v>0.40987608510741824</v>
      </c>
      <c r="G64">
        <f t="shared" si="10"/>
        <v>720.88412356666413</v>
      </c>
      <c r="H64" t="s">
        <v>27</v>
      </c>
      <c r="I64">
        <v>2560</v>
      </c>
      <c r="J64">
        <v>990</v>
      </c>
      <c r="K64">
        <v>20</v>
      </c>
      <c r="L64">
        <v>24</v>
      </c>
      <c r="M64">
        <v>3</v>
      </c>
      <c r="N64">
        <f t="shared" si="8"/>
        <v>47</v>
      </c>
      <c r="O64">
        <v>16</v>
      </c>
      <c r="P64" t="str">
        <f t="shared" si="9"/>
        <v>Nem</v>
      </c>
      <c r="W64" t="b">
        <f t="shared" si="22"/>
        <v>0</v>
      </c>
      <c r="X64" t="b">
        <f t="shared" si="23"/>
        <v>0</v>
      </c>
      <c r="Y64" t="b">
        <f t="shared" si="24"/>
        <v>0</v>
      </c>
      <c r="Z64" t="b">
        <f t="shared" si="25"/>
        <v>0</v>
      </c>
      <c r="AA64" t="b">
        <f t="shared" si="26"/>
        <v>0</v>
      </c>
      <c r="AB64" t="str">
        <f t="shared" si="16"/>
        <v>nem</v>
      </c>
    </row>
    <row r="65" spans="1:28" x14ac:dyDescent="0.25">
      <c r="A65" t="s">
        <v>105</v>
      </c>
      <c r="B65" t="s">
        <v>26</v>
      </c>
      <c r="C65">
        <v>47.188044400000003</v>
      </c>
      <c r="D65">
        <f t="shared" si="6"/>
        <v>0.82358674235727214</v>
      </c>
      <c r="E65">
        <v>12.6874982</v>
      </c>
      <c r="F65">
        <f t="shared" si="7"/>
        <v>0.22143861743085402</v>
      </c>
      <c r="G65">
        <f t="shared" si="10"/>
        <v>479.76073313705405</v>
      </c>
      <c r="H65" t="s">
        <v>106</v>
      </c>
      <c r="I65">
        <v>3029</v>
      </c>
      <c r="J65">
        <v>1978</v>
      </c>
      <c r="K65">
        <v>13</v>
      </c>
      <c r="L65">
        <v>25</v>
      </c>
      <c r="M65">
        <v>3</v>
      </c>
      <c r="N65">
        <f t="shared" si="8"/>
        <v>41</v>
      </c>
      <c r="O65">
        <v>5</v>
      </c>
      <c r="P65" t="str">
        <f t="shared" si="9"/>
        <v>Igen</v>
      </c>
      <c r="W65" t="b">
        <f t="shared" si="22"/>
        <v>0</v>
      </c>
      <c r="X65">
        <f t="shared" si="23"/>
        <v>1</v>
      </c>
      <c r="Y65" t="b">
        <f t="shared" si="24"/>
        <v>0</v>
      </c>
      <c r="Z65" t="b">
        <f t="shared" si="25"/>
        <v>0</v>
      </c>
      <c r="AA65" t="b">
        <f t="shared" si="26"/>
        <v>1</v>
      </c>
      <c r="AB65" t="str">
        <f t="shared" si="16"/>
        <v>igen</v>
      </c>
    </row>
    <row r="66" spans="1:28" x14ac:dyDescent="0.25">
      <c r="A66" t="s">
        <v>107</v>
      </c>
      <c r="B66" t="s">
        <v>46</v>
      </c>
      <c r="C66">
        <v>56.681541750000001</v>
      </c>
      <c r="D66">
        <f t="shared" si="6"/>
        <v>0.9892795286441286</v>
      </c>
      <c r="E66">
        <v>-5.1064431199999998</v>
      </c>
      <c r="F66">
        <f t="shared" si="7"/>
        <v>-8.9124245509811906E-2</v>
      </c>
      <c r="G66">
        <f t="shared" si="10"/>
        <v>1924.7573609466463</v>
      </c>
      <c r="H66" t="s">
        <v>27</v>
      </c>
      <c r="I66">
        <v>1070</v>
      </c>
      <c r="J66">
        <v>360</v>
      </c>
      <c r="K66">
        <v>7</v>
      </c>
      <c r="L66">
        <v>10</v>
      </c>
      <c r="M66">
        <v>7</v>
      </c>
      <c r="N66">
        <f t="shared" si="8"/>
        <v>24</v>
      </c>
      <c r="O66">
        <v>0</v>
      </c>
      <c r="P66" t="str">
        <f t="shared" si="9"/>
        <v>Nem</v>
      </c>
      <c r="W66" t="b">
        <f t="shared" si="22"/>
        <v>0</v>
      </c>
      <c r="X66" t="b">
        <f t="shared" si="23"/>
        <v>0</v>
      </c>
      <c r="Y66" t="b">
        <f t="shared" si="24"/>
        <v>0</v>
      </c>
      <c r="Z66" t="b">
        <f t="shared" si="25"/>
        <v>0</v>
      </c>
      <c r="AA66" t="b">
        <f t="shared" si="26"/>
        <v>0</v>
      </c>
      <c r="AB66" t="str">
        <f t="shared" si="16"/>
        <v>nem</v>
      </c>
    </row>
    <row r="67" spans="1:28" x14ac:dyDescent="0.25">
      <c r="A67" t="s">
        <v>108</v>
      </c>
      <c r="B67" t="s">
        <v>26</v>
      </c>
      <c r="C67">
        <v>46.967396100000002</v>
      </c>
      <c r="D67">
        <f t="shared" si="6"/>
        <v>0.81973570303334398</v>
      </c>
      <c r="E67">
        <v>11.0070193</v>
      </c>
      <c r="F67">
        <f t="shared" si="7"/>
        <v>0.19210872761556147</v>
      </c>
      <c r="G67">
        <f t="shared" si="10"/>
        <v>609.12481439778958</v>
      </c>
      <c r="H67" t="s">
        <v>109</v>
      </c>
      <c r="I67">
        <v>3340</v>
      </c>
      <c r="J67">
        <v>1350</v>
      </c>
      <c r="K67">
        <v>70</v>
      </c>
      <c r="L67">
        <v>44</v>
      </c>
      <c r="M67">
        <v>29</v>
      </c>
      <c r="N67">
        <f t="shared" si="8"/>
        <v>143</v>
      </c>
      <c r="O67">
        <v>15</v>
      </c>
      <c r="P67" t="str">
        <f t="shared" si="9"/>
        <v>Nem</v>
      </c>
      <c r="W67" t="b">
        <f t="shared" si="22"/>
        <v>0</v>
      </c>
      <c r="X67" t="b">
        <f t="shared" si="23"/>
        <v>0</v>
      </c>
      <c r="Y67" t="b">
        <f t="shared" si="24"/>
        <v>0</v>
      </c>
      <c r="Z67" t="b">
        <f t="shared" si="25"/>
        <v>0</v>
      </c>
      <c r="AA67" t="b">
        <f t="shared" si="26"/>
        <v>0</v>
      </c>
      <c r="AB67" t="str">
        <f t="shared" si="16"/>
        <v>nem</v>
      </c>
    </row>
    <row r="68" spans="1:28" x14ac:dyDescent="0.25">
      <c r="A68" t="s">
        <v>110</v>
      </c>
      <c r="B68" t="s">
        <v>26</v>
      </c>
      <c r="C68">
        <v>47.212049</v>
      </c>
      <c r="D68">
        <f t="shared" ref="D68:D131" si="27">RADIANS(C68)</f>
        <v>0.82400570166289633</v>
      </c>
      <c r="E68">
        <v>11.017326000000001</v>
      </c>
      <c r="F68">
        <f t="shared" ref="F68:F131" si="28">RADIANS(E68)</f>
        <v>0.1922886134655768</v>
      </c>
      <c r="G68">
        <f t="shared" si="10"/>
        <v>604.92701874291129</v>
      </c>
      <c r="H68" t="s">
        <v>23</v>
      </c>
      <c r="I68">
        <v>2520</v>
      </c>
      <c r="J68">
        <v>1938</v>
      </c>
      <c r="K68">
        <v>6</v>
      </c>
      <c r="L68">
        <v>26</v>
      </c>
      <c r="M68">
        <v>8</v>
      </c>
      <c r="N68">
        <f t="shared" ref="N68:N131" si="29">SUM(K68,L68,M68)</f>
        <v>40</v>
      </c>
      <c r="O68">
        <v>4</v>
      </c>
      <c r="P68" t="str">
        <f t="shared" ref="P68:P131" si="30">IF(AA68, "Igen", "Nem")</f>
        <v>Nem</v>
      </c>
      <c r="W68" t="b">
        <f t="shared" si="22"/>
        <v>0</v>
      </c>
      <c r="X68" t="b">
        <f t="shared" si="23"/>
        <v>0</v>
      </c>
      <c r="Y68" t="b">
        <f t="shared" si="24"/>
        <v>0</v>
      </c>
      <c r="Z68" t="b">
        <f t="shared" si="25"/>
        <v>0</v>
      </c>
      <c r="AA68" t="b">
        <f t="shared" si="26"/>
        <v>0</v>
      </c>
      <c r="AB68" t="str">
        <f t="shared" si="16"/>
        <v>nem</v>
      </c>
    </row>
    <row r="69" spans="1:28" x14ac:dyDescent="0.25">
      <c r="A69" t="s">
        <v>111</v>
      </c>
      <c r="B69" t="s">
        <v>26</v>
      </c>
      <c r="C69">
        <v>47.249436199999998</v>
      </c>
      <c r="D69">
        <f t="shared" si="27"/>
        <v>0.82465823140099792</v>
      </c>
      <c r="E69">
        <v>13.5569603</v>
      </c>
      <c r="F69">
        <f t="shared" si="28"/>
        <v>0.23661359379715821</v>
      </c>
      <c r="G69">
        <f t="shared" ref="G69:G132" si="31">ACOS(SIN(D69)*SIN($U$2)+COS(D69) * COS($U$2) * COS($V$2 - F69)) * 6371</f>
        <v>413.74262515522588</v>
      </c>
      <c r="H69" t="s">
        <v>21</v>
      </c>
      <c r="I69">
        <v>2313</v>
      </c>
      <c r="J69">
        <v>1630</v>
      </c>
      <c r="K69">
        <v>61</v>
      </c>
      <c r="L69">
        <v>35</v>
      </c>
      <c r="M69">
        <v>4</v>
      </c>
      <c r="N69">
        <f t="shared" si="29"/>
        <v>100</v>
      </c>
      <c r="O69">
        <v>5</v>
      </c>
      <c r="P69" t="str">
        <f t="shared" si="30"/>
        <v>Nem</v>
      </c>
      <c r="W69" t="b">
        <f t="shared" si="22"/>
        <v>0</v>
      </c>
      <c r="X69" t="b">
        <f t="shared" si="23"/>
        <v>0</v>
      </c>
      <c r="Y69" t="b">
        <f t="shared" si="24"/>
        <v>0</v>
      </c>
      <c r="Z69" t="b">
        <f t="shared" si="25"/>
        <v>0</v>
      </c>
      <c r="AA69" t="b">
        <f t="shared" si="26"/>
        <v>0</v>
      </c>
      <c r="AB69" t="str">
        <f t="shared" si="16"/>
        <v>nem</v>
      </c>
    </row>
    <row r="70" spans="1:28" x14ac:dyDescent="0.25">
      <c r="A70" t="s">
        <v>112</v>
      </c>
      <c r="B70" t="s">
        <v>26</v>
      </c>
      <c r="C70">
        <v>47.106469099999998</v>
      </c>
      <c r="D70">
        <f t="shared" si="27"/>
        <v>0.82216298478396999</v>
      </c>
      <c r="E70">
        <v>11.3079828</v>
      </c>
      <c r="F70">
        <f t="shared" si="28"/>
        <v>0.19736153161888745</v>
      </c>
      <c r="G70">
        <f t="shared" si="31"/>
        <v>584.42776896475948</v>
      </c>
      <c r="H70" t="s">
        <v>59</v>
      </c>
      <c r="I70">
        <v>2080</v>
      </c>
      <c r="J70">
        <v>981</v>
      </c>
      <c r="K70">
        <v>0</v>
      </c>
      <c r="L70">
        <v>7</v>
      </c>
      <c r="M70">
        <v>0</v>
      </c>
      <c r="N70">
        <f t="shared" si="29"/>
        <v>7</v>
      </c>
      <c r="O70">
        <v>5</v>
      </c>
      <c r="P70" t="str">
        <f t="shared" si="30"/>
        <v>Nem</v>
      </c>
      <c r="W70" t="b">
        <f t="shared" si="22"/>
        <v>0</v>
      </c>
      <c r="X70" t="b">
        <f t="shared" si="23"/>
        <v>0</v>
      </c>
      <c r="Y70" t="b">
        <f t="shared" si="24"/>
        <v>0</v>
      </c>
      <c r="Z70" t="b">
        <f t="shared" si="25"/>
        <v>0</v>
      </c>
      <c r="AA70" t="b">
        <f t="shared" si="26"/>
        <v>0</v>
      </c>
      <c r="AB70" t="str">
        <f t="shared" si="16"/>
        <v>nem</v>
      </c>
    </row>
    <row r="71" spans="1:28" x14ac:dyDescent="0.25">
      <c r="A71" t="s">
        <v>113</v>
      </c>
      <c r="B71" t="s">
        <v>26</v>
      </c>
      <c r="C71">
        <v>47.053032399999999</v>
      </c>
      <c r="D71">
        <f t="shared" si="27"/>
        <v>0.82123033842756954</v>
      </c>
      <c r="E71">
        <v>10.619137050000001</v>
      </c>
      <c r="F71">
        <f t="shared" si="28"/>
        <v>0.18533890524301772</v>
      </c>
      <c r="G71">
        <f t="shared" si="31"/>
        <v>636.91994166618986</v>
      </c>
      <c r="H71" t="s">
        <v>27</v>
      </c>
      <c r="I71">
        <v>2820</v>
      </c>
      <c r="J71">
        <v>1200</v>
      </c>
      <c r="K71">
        <v>47</v>
      </c>
      <c r="L71">
        <v>123</v>
      </c>
      <c r="M71">
        <v>28</v>
      </c>
      <c r="N71">
        <f t="shared" si="29"/>
        <v>198</v>
      </c>
      <c r="O71">
        <v>10</v>
      </c>
      <c r="P71" t="str">
        <f t="shared" si="30"/>
        <v>Nem</v>
      </c>
      <c r="W71" t="b">
        <f t="shared" si="22"/>
        <v>0</v>
      </c>
      <c r="X71" t="b">
        <f t="shared" si="23"/>
        <v>0</v>
      </c>
      <c r="Y71" t="b">
        <f t="shared" si="24"/>
        <v>0</v>
      </c>
      <c r="Z71" t="b">
        <f t="shared" si="25"/>
        <v>0</v>
      </c>
      <c r="AA71" t="b">
        <f t="shared" si="26"/>
        <v>0</v>
      </c>
      <c r="AB71" t="str">
        <f t="shared" si="16"/>
        <v>nem</v>
      </c>
    </row>
    <row r="72" spans="1:28" x14ac:dyDescent="0.25">
      <c r="A72" t="s">
        <v>114</v>
      </c>
      <c r="B72" t="s">
        <v>26</v>
      </c>
      <c r="C72">
        <v>47.38650655</v>
      </c>
      <c r="D72">
        <f t="shared" si="27"/>
        <v>0.82705056031535895</v>
      </c>
      <c r="E72">
        <v>12.956413230000001</v>
      </c>
      <c r="F72">
        <f t="shared" si="28"/>
        <v>0.22613207011245337</v>
      </c>
      <c r="G72">
        <f t="shared" si="31"/>
        <v>457.58372024326479</v>
      </c>
      <c r="H72" t="s">
        <v>27</v>
      </c>
      <c r="I72">
        <v>1900</v>
      </c>
      <c r="J72">
        <v>800</v>
      </c>
      <c r="K72">
        <v>52</v>
      </c>
      <c r="L72">
        <v>41</v>
      </c>
      <c r="M72">
        <v>19</v>
      </c>
      <c r="N72">
        <f t="shared" si="29"/>
        <v>112</v>
      </c>
      <c r="O72">
        <v>9</v>
      </c>
      <c r="P72" t="str">
        <f t="shared" si="30"/>
        <v>Nem</v>
      </c>
      <c r="W72" t="b">
        <f t="shared" si="22"/>
        <v>0</v>
      </c>
      <c r="X72" t="b">
        <f t="shared" si="23"/>
        <v>0</v>
      </c>
      <c r="Y72" t="b">
        <f t="shared" si="24"/>
        <v>0</v>
      </c>
      <c r="Z72" t="b">
        <f t="shared" si="25"/>
        <v>0</v>
      </c>
      <c r="AA72" t="b">
        <f t="shared" si="26"/>
        <v>0</v>
      </c>
      <c r="AB72" t="str">
        <f t="shared" si="16"/>
        <v>nem</v>
      </c>
    </row>
    <row r="73" spans="1:28" x14ac:dyDescent="0.25">
      <c r="A73" t="s">
        <v>115</v>
      </c>
      <c r="B73" t="s">
        <v>26</v>
      </c>
      <c r="C73">
        <v>47.167218800000001</v>
      </c>
      <c r="D73">
        <f t="shared" si="27"/>
        <v>0.82322326706856874</v>
      </c>
      <c r="E73">
        <v>11.863866399999999</v>
      </c>
      <c r="F73">
        <f t="shared" si="28"/>
        <v>0.20706353069672659</v>
      </c>
      <c r="G73">
        <f t="shared" si="31"/>
        <v>541.87609510893981</v>
      </c>
      <c r="H73" t="s">
        <v>27</v>
      </c>
      <c r="I73">
        <v>2500</v>
      </c>
      <c r="J73">
        <v>630</v>
      </c>
      <c r="K73">
        <v>40</v>
      </c>
      <c r="L73">
        <v>66</v>
      </c>
      <c r="M73">
        <v>30</v>
      </c>
      <c r="N73">
        <f t="shared" si="29"/>
        <v>136</v>
      </c>
      <c r="O73">
        <v>10</v>
      </c>
      <c r="P73" t="str">
        <f t="shared" si="30"/>
        <v>Nem</v>
      </c>
      <c r="W73" t="b">
        <f t="shared" si="22"/>
        <v>0</v>
      </c>
      <c r="X73" t="b">
        <f t="shared" si="23"/>
        <v>0</v>
      </c>
      <c r="Y73" t="b">
        <f t="shared" si="24"/>
        <v>0</v>
      </c>
      <c r="Z73" t="b">
        <f t="shared" si="25"/>
        <v>0</v>
      </c>
      <c r="AA73" t="b">
        <f t="shared" si="26"/>
        <v>0</v>
      </c>
      <c r="AB73" t="str">
        <f t="shared" si="16"/>
        <v>nem</v>
      </c>
    </row>
    <row r="74" spans="1:28" x14ac:dyDescent="0.25">
      <c r="A74" t="s">
        <v>116</v>
      </c>
      <c r="B74" t="s">
        <v>26</v>
      </c>
      <c r="C74">
        <v>47.182654249999999</v>
      </c>
      <c r="D74">
        <f t="shared" si="27"/>
        <v>0.82349266649259567</v>
      </c>
      <c r="E74">
        <v>10.140433610000001</v>
      </c>
      <c r="F74">
        <f t="shared" si="28"/>
        <v>0.1769839540743946</v>
      </c>
      <c r="G74">
        <f t="shared" si="31"/>
        <v>671.15138112746934</v>
      </c>
      <c r="H74" t="s">
        <v>27</v>
      </c>
      <c r="I74">
        <v>2811</v>
      </c>
      <c r="J74">
        <v>1270</v>
      </c>
      <c r="K74">
        <v>130</v>
      </c>
      <c r="L74">
        <v>123</v>
      </c>
      <c r="M74">
        <v>51</v>
      </c>
      <c r="N74">
        <f t="shared" si="29"/>
        <v>304</v>
      </c>
      <c r="O74">
        <v>10</v>
      </c>
      <c r="P74" t="str">
        <f t="shared" si="30"/>
        <v>Nem</v>
      </c>
      <c r="W74" t="b">
        <f t="shared" si="22"/>
        <v>0</v>
      </c>
      <c r="X74" t="b">
        <f t="shared" si="23"/>
        <v>0</v>
      </c>
      <c r="Y74" t="b">
        <f t="shared" si="24"/>
        <v>0</v>
      </c>
      <c r="Z74" t="b">
        <f t="shared" si="25"/>
        <v>0</v>
      </c>
      <c r="AA74" t="b">
        <f t="shared" si="26"/>
        <v>0</v>
      </c>
      <c r="AB74" t="str">
        <f t="shared" ref="AB74:AB137" si="32">IF(AA74, "igen", "nem")</f>
        <v>nem</v>
      </c>
    </row>
    <row r="75" spans="1:28" x14ac:dyDescent="0.25">
      <c r="A75" t="s">
        <v>117</v>
      </c>
      <c r="B75" t="s">
        <v>26</v>
      </c>
      <c r="C75">
        <v>47.194380099999997</v>
      </c>
      <c r="D75">
        <f t="shared" si="27"/>
        <v>0.82369732118269068</v>
      </c>
      <c r="E75">
        <v>11.303018700000001</v>
      </c>
      <c r="F75">
        <f t="shared" si="28"/>
        <v>0.1972748917294892</v>
      </c>
      <c r="G75">
        <f t="shared" si="31"/>
        <v>583.67181616180733</v>
      </c>
      <c r="H75" t="s">
        <v>23</v>
      </c>
      <c r="I75">
        <v>2340</v>
      </c>
      <c r="J75">
        <v>1580</v>
      </c>
      <c r="K75">
        <v>7</v>
      </c>
      <c r="L75">
        <v>21</v>
      </c>
      <c r="M75">
        <v>2</v>
      </c>
      <c r="N75">
        <f t="shared" si="29"/>
        <v>30</v>
      </c>
      <c r="O75">
        <v>3</v>
      </c>
      <c r="P75" t="str">
        <f t="shared" si="30"/>
        <v>Nem</v>
      </c>
      <c r="W75" t="b">
        <f t="shared" si="22"/>
        <v>0</v>
      </c>
      <c r="X75" t="b">
        <f t="shared" si="23"/>
        <v>0</v>
      </c>
      <c r="Y75" t="b">
        <f t="shared" si="24"/>
        <v>0</v>
      </c>
      <c r="Z75" t="b">
        <f t="shared" si="25"/>
        <v>0</v>
      </c>
      <c r="AA75" t="b">
        <f t="shared" si="26"/>
        <v>0</v>
      </c>
      <c r="AB75" t="str">
        <f t="shared" si="32"/>
        <v>nem</v>
      </c>
    </row>
    <row r="76" spans="1:28" x14ac:dyDescent="0.25">
      <c r="A76" t="s">
        <v>118</v>
      </c>
      <c r="B76" t="s">
        <v>26</v>
      </c>
      <c r="C76">
        <v>47.343850099999997</v>
      </c>
      <c r="D76">
        <f t="shared" si="27"/>
        <v>0.82630606481564661</v>
      </c>
      <c r="E76">
        <v>13.392288799999999</v>
      </c>
      <c r="F76">
        <f t="shared" si="28"/>
        <v>0.23373953393796035</v>
      </c>
      <c r="G76">
        <f t="shared" si="31"/>
        <v>425.17657745205292</v>
      </c>
      <c r="H76" t="s">
        <v>23</v>
      </c>
      <c r="I76">
        <v>1980</v>
      </c>
      <c r="J76">
        <v>740</v>
      </c>
      <c r="K76">
        <v>30</v>
      </c>
      <c r="L76">
        <v>81</v>
      </c>
      <c r="M76">
        <v>4</v>
      </c>
      <c r="N76">
        <f t="shared" si="29"/>
        <v>115</v>
      </c>
      <c r="O76">
        <v>0</v>
      </c>
      <c r="P76" t="str">
        <f t="shared" si="30"/>
        <v>Nem</v>
      </c>
      <c r="W76" t="b">
        <f t="shared" si="22"/>
        <v>0</v>
      </c>
      <c r="X76" t="b">
        <f t="shared" si="23"/>
        <v>0</v>
      </c>
      <c r="Y76" t="b">
        <f t="shared" si="24"/>
        <v>0</v>
      </c>
      <c r="Z76" t="b">
        <f t="shared" si="25"/>
        <v>0</v>
      </c>
      <c r="AA76" t="b">
        <f t="shared" si="26"/>
        <v>0</v>
      </c>
      <c r="AB76" t="str">
        <f t="shared" si="32"/>
        <v>nem</v>
      </c>
    </row>
    <row r="77" spans="1:28" x14ac:dyDescent="0.25">
      <c r="A77" t="s">
        <v>119</v>
      </c>
      <c r="B77" t="s">
        <v>26</v>
      </c>
      <c r="C77">
        <v>47.395203000000002</v>
      </c>
      <c r="D77">
        <f t="shared" si="27"/>
        <v>0.8272023420010941</v>
      </c>
      <c r="E77">
        <v>11.92651</v>
      </c>
      <c r="F77">
        <f t="shared" si="28"/>
        <v>0.20815686777202891</v>
      </c>
      <c r="G77">
        <f t="shared" si="31"/>
        <v>534.87756463502228</v>
      </c>
      <c r="H77" t="s">
        <v>27</v>
      </c>
      <c r="I77">
        <v>2025</v>
      </c>
      <c r="J77">
        <v>830</v>
      </c>
      <c r="K77">
        <v>25</v>
      </c>
      <c r="L77">
        <v>53</v>
      </c>
      <c r="M77">
        <v>13</v>
      </c>
      <c r="N77">
        <f t="shared" si="29"/>
        <v>91</v>
      </c>
      <c r="O77">
        <v>7</v>
      </c>
      <c r="P77" t="str">
        <f t="shared" si="30"/>
        <v>Nem</v>
      </c>
      <c r="W77" t="b">
        <f t="shared" si="22"/>
        <v>0</v>
      </c>
      <c r="X77" t="b">
        <f t="shared" si="23"/>
        <v>0</v>
      </c>
      <c r="Y77" t="b">
        <f t="shared" si="24"/>
        <v>0</v>
      </c>
      <c r="Z77" t="b">
        <f t="shared" si="25"/>
        <v>0</v>
      </c>
      <c r="AA77" t="b">
        <f t="shared" si="26"/>
        <v>0</v>
      </c>
      <c r="AB77" t="str">
        <f t="shared" si="32"/>
        <v>nem</v>
      </c>
    </row>
    <row r="78" spans="1:28" x14ac:dyDescent="0.25">
      <c r="A78" t="s">
        <v>120</v>
      </c>
      <c r="B78" t="s">
        <v>26</v>
      </c>
      <c r="C78">
        <v>46.9862824</v>
      </c>
      <c r="D78">
        <f t="shared" si="27"/>
        <v>0.82006533115186331</v>
      </c>
      <c r="E78">
        <v>10.27451769</v>
      </c>
      <c r="F78">
        <f t="shared" si="28"/>
        <v>0.17932416274490207</v>
      </c>
      <c r="G78">
        <f t="shared" si="31"/>
        <v>663.81231570184536</v>
      </c>
      <c r="H78" t="s">
        <v>21</v>
      </c>
      <c r="I78">
        <v>2872</v>
      </c>
      <c r="J78">
        <v>1377</v>
      </c>
      <c r="K78">
        <v>47</v>
      </c>
      <c r="L78">
        <v>142</v>
      </c>
      <c r="M78">
        <v>49</v>
      </c>
      <c r="N78">
        <f t="shared" si="29"/>
        <v>238</v>
      </c>
      <c r="O78">
        <v>11</v>
      </c>
      <c r="P78" t="str">
        <f t="shared" si="30"/>
        <v>Nem</v>
      </c>
      <c r="W78" t="b">
        <f t="shared" si="22"/>
        <v>0</v>
      </c>
      <c r="X78" t="b">
        <f t="shared" si="23"/>
        <v>0</v>
      </c>
      <c r="Y78" t="b">
        <f t="shared" si="24"/>
        <v>0</v>
      </c>
      <c r="Z78" t="b">
        <f t="shared" si="25"/>
        <v>0</v>
      </c>
      <c r="AA78" t="b">
        <f t="shared" si="26"/>
        <v>0</v>
      </c>
      <c r="AB78" t="str">
        <f t="shared" si="32"/>
        <v>nem</v>
      </c>
    </row>
    <row r="79" spans="1:28" x14ac:dyDescent="0.25">
      <c r="A79" t="s">
        <v>121</v>
      </c>
      <c r="B79" t="s">
        <v>26</v>
      </c>
      <c r="C79">
        <v>47.114495400000003</v>
      </c>
      <c r="D79">
        <f t="shared" si="27"/>
        <v>0.8223030701457229</v>
      </c>
      <c r="E79">
        <v>13.1352653</v>
      </c>
      <c r="F79">
        <f t="shared" si="28"/>
        <v>0.22925362760796072</v>
      </c>
      <c r="G79">
        <f t="shared" si="31"/>
        <v>447.15613993184593</v>
      </c>
      <c r="H79" t="s">
        <v>23</v>
      </c>
      <c r="I79">
        <v>2300</v>
      </c>
      <c r="J79">
        <v>860</v>
      </c>
      <c r="K79">
        <v>30</v>
      </c>
      <c r="L79">
        <v>52</v>
      </c>
      <c r="M79">
        <v>2</v>
      </c>
      <c r="N79">
        <f t="shared" si="29"/>
        <v>84</v>
      </c>
      <c r="O79">
        <v>10</v>
      </c>
      <c r="P79" t="str">
        <f t="shared" si="30"/>
        <v>Nem</v>
      </c>
      <c r="W79" t="b">
        <f t="shared" si="22"/>
        <v>0</v>
      </c>
      <c r="X79" t="b">
        <f t="shared" si="23"/>
        <v>0</v>
      </c>
      <c r="Y79" t="b">
        <f t="shared" si="24"/>
        <v>0</v>
      </c>
      <c r="Z79" t="b">
        <f t="shared" si="25"/>
        <v>0</v>
      </c>
      <c r="AA79" t="b">
        <f t="shared" si="26"/>
        <v>0</v>
      </c>
      <c r="AB79" t="str">
        <f t="shared" si="32"/>
        <v>nem</v>
      </c>
    </row>
    <row r="80" spans="1:28" x14ac:dyDescent="0.25">
      <c r="A80" t="s">
        <v>122</v>
      </c>
      <c r="B80" t="s">
        <v>26</v>
      </c>
      <c r="C80">
        <v>46.972103500000003</v>
      </c>
      <c r="D80">
        <f t="shared" si="27"/>
        <v>0.8198178626625523</v>
      </c>
      <c r="E80">
        <v>9.9187223000000007</v>
      </c>
      <c r="F80">
        <f t="shared" si="28"/>
        <v>0.17311436172598477</v>
      </c>
      <c r="G80">
        <f t="shared" si="31"/>
        <v>690.75501094916171</v>
      </c>
      <c r="H80" t="s">
        <v>27</v>
      </c>
      <c r="I80">
        <v>2300</v>
      </c>
      <c r="J80">
        <v>1423</v>
      </c>
      <c r="K80">
        <v>20</v>
      </c>
      <c r="L80">
        <v>5</v>
      </c>
      <c r="M80">
        <v>2</v>
      </c>
      <c r="N80">
        <f t="shared" si="29"/>
        <v>27</v>
      </c>
      <c r="O80">
        <v>6</v>
      </c>
      <c r="P80" t="str">
        <f t="shared" si="30"/>
        <v>Nem</v>
      </c>
      <c r="W80" t="b">
        <f t="shared" si="22"/>
        <v>0</v>
      </c>
      <c r="X80" t="b">
        <f t="shared" si="23"/>
        <v>0</v>
      </c>
      <c r="Y80" t="b">
        <f t="shared" si="24"/>
        <v>0</v>
      </c>
      <c r="Z80" t="b">
        <f t="shared" si="25"/>
        <v>0</v>
      </c>
      <c r="AA80" t="b">
        <f t="shared" si="26"/>
        <v>0</v>
      </c>
      <c r="AB80" t="str">
        <f t="shared" si="32"/>
        <v>nem</v>
      </c>
    </row>
    <row r="81" spans="1:28" x14ac:dyDescent="0.25">
      <c r="A81" t="s">
        <v>123</v>
      </c>
      <c r="B81" t="s">
        <v>26</v>
      </c>
      <c r="C81">
        <v>47.182654249999999</v>
      </c>
      <c r="D81">
        <f t="shared" si="27"/>
        <v>0.82349266649259567</v>
      </c>
      <c r="E81">
        <v>10.140433610000001</v>
      </c>
      <c r="F81">
        <f t="shared" si="28"/>
        <v>0.1769839540743946</v>
      </c>
      <c r="G81">
        <f t="shared" si="31"/>
        <v>671.15138112746934</v>
      </c>
      <c r="H81" t="s">
        <v>27</v>
      </c>
      <c r="I81">
        <v>2811</v>
      </c>
      <c r="J81">
        <v>1270</v>
      </c>
      <c r="K81">
        <v>130</v>
      </c>
      <c r="L81">
        <v>123</v>
      </c>
      <c r="M81">
        <v>51</v>
      </c>
      <c r="N81">
        <f t="shared" si="29"/>
        <v>304</v>
      </c>
      <c r="O81">
        <v>6</v>
      </c>
      <c r="P81" t="str">
        <f t="shared" si="30"/>
        <v>Nem</v>
      </c>
      <c r="W81" t="b">
        <f t="shared" si="22"/>
        <v>0</v>
      </c>
      <c r="X81" t="b">
        <f t="shared" si="23"/>
        <v>0</v>
      </c>
      <c r="Y81" t="b">
        <f t="shared" si="24"/>
        <v>0</v>
      </c>
      <c r="Z81" t="b">
        <f t="shared" si="25"/>
        <v>0</v>
      </c>
      <c r="AA81" t="b">
        <f t="shared" si="26"/>
        <v>0</v>
      </c>
      <c r="AB81" t="str">
        <f t="shared" si="32"/>
        <v>nem</v>
      </c>
    </row>
    <row r="82" spans="1:28" x14ac:dyDescent="0.25">
      <c r="A82" t="s">
        <v>124</v>
      </c>
      <c r="B82" t="s">
        <v>26</v>
      </c>
      <c r="C82">
        <v>47.446358500000002</v>
      </c>
      <c r="D82">
        <f t="shared" si="27"/>
        <v>0.82809517390659804</v>
      </c>
      <c r="E82">
        <v>12.3911473</v>
      </c>
      <c r="F82">
        <f t="shared" si="28"/>
        <v>0.21626631848460556</v>
      </c>
      <c r="G82">
        <f t="shared" si="31"/>
        <v>499.63966297382274</v>
      </c>
      <c r="H82" t="s">
        <v>125</v>
      </c>
      <c r="I82">
        <v>2000</v>
      </c>
      <c r="J82">
        <v>800</v>
      </c>
      <c r="K82">
        <v>101</v>
      </c>
      <c r="L82">
        <v>61</v>
      </c>
      <c r="M82">
        <v>17</v>
      </c>
      <c r="N82">
        <f t="shared" si="29"/>
        <v>179</v>
      </c>
      <c r="O82">
        <v>8</v>
      </c>
      <c r="P82" t="str">
        <f t="shared" si="30"/>
        <v>Nem</v>
      </c>
      <c r="W82" t="b">
        <f t="shared" si="22"/>
        <v>0</v>
      </c>
      <c r="X82" t="b">
        <f t="shared" si="23"/>
        <v>0</v>
      </c>
      <c r="Y82" t="b">
        <f t="shared" si="24"/>
        <v>0</v>
      </c>
      <c r="Z82" t="b">
        <f t="shared" si="25"/>
        <v>0</v>
      </c>
      <c r="AA82" t="b">
        <f t="shared" si="26"/>
        <v>0</v>
      </c>
      <c r="AB82" t="str">
        <f t="shared" si="32"/>
        <v>nem</v>
      </c>
    </row>
    <row r="83" spans="1:28" x14ac:dyDescent="0.25">
      <c r="A83" t="s">
        <v>126</v>
      </c>
      <c r="B83" t="s">
        <v>26</v>
      </c>
      <c r="C83">
        <v>46.919455399999997</v>
      </c>
      <c r="D83">
        <f t="shared" si="27"/>
        <v>0.81889897997263306</v>
      </c>
      <c r="E83">
        <v>10.170590349999999</v>
      </c>
      <c r="F83">
        <f t="shared" si="28"/>
        <v>0.17751028847906244</v>
      </c>
      <c r="G83">
        <f t="shared" si="31"/>
        <v>672.70456079850442</v>
      </c>
      <c r="H83" t="s">
        <v>27</v>
      </c>
      <c r="I83">
        <v>2300</v>
      </c>
      <c r="J83">
        <v>1600</v>
      </c>
      <c r="K83">
        <v>6</v>
      </c>
      <c r="L83">
        <v>25</v>
      </c>
      <c r="M83">
        <v>12</v>
      </c>
      <c r="N83">
        <f t="shared" si="29"/>
        <v>43</v>
      </c>
      <c r="O83">
        <v>4</v>
      </c>
      <c r="P83" t="str">
        <f t="shared" si="30"/>
        <v>Nem</v>
      </c>
      <c r="W83" t="b">
        <f t="shared" si="22"/>
        <v>0</v>
      </c>
      <c r="X83" t="b">
        <f t="shared" si="23"/>
        <v>0</v>
      </c>
      <c r="Y83" t="b">
        <f t="shared" si="24"/>
        <v>0</v>
      </c>
      <c r="Z83" t="b">
        <f t="shared" si="25"/>
        <v>0</v>
      </c>
      <c r="AA83" t="b">
        <f t="shared" si="26"/>
        <v>0</v>
      </c>
      <c r="AB83" t="str">
        <f t="shared" si="32"/>
        <v>nem</v>
      </c>
    </row>
    <row r="84" spans="1:28" x14ac:dyDescent="0.25">
      <c r="A84" t="s">
        <v>127</v>
      </c>
      <c r="B84" t="s">
        <v>26</v>
      </c>
      <c r="C84">
        <v>47.455187549999998</v>
      </c>
      <c r="D84">
        <f t="shared" si="27"/>
        <v>0.82824926989892111</v>
      </c>
      <c r="E84">
        <v>12.54442426</v>
      </c>
      <c r="F84">
        <f t="shared" si="28"/>
        <v>0.21894150610405319</v>
      </c>
      <c r="G84">
        <f t="shared" si="31"/>
        <v>488.07858894633671</v>
      </c>
      <c r="H84" t="s">
        <v>23</v>
      </c>
      <c r="I84">
        <v>2096</v>
      </c>
      <c r="J84">
        <v>830</v>
      </c>
      <c r="K84">
        <v>140</v>
      </c>
      <c r="L84">
        <v>112</v>
      </c>
      <c r="M84">
        <v>18</v>
      </c>
      <c r="N84">
        <f t="shared" si="29"/>
        <v>270</v>
      </c>
      <c r="O84">
        <v>0</v>
      </c>
      <c r="P84" t="str">
        <f t="shared" si="30"/>
        <v>Nem</v>
      </c>
      <c r="W84" t="b">
        <f t="shared" si="22"/>
        <v>0</v>
      </c>
      <c r="X84" t="b">
        <f t="shared" si="23"/>
        <v>0</v>
      </c>
      <c r="Y84" t="b">
        <f t="shared" si="24"/>
        <v>0</v>
      </c>
      <c r="Z84" t="b">
        <f t="shared" si="25"/>
        <v>0</v>
      </c>
      <c r="AA84" t="b">
        <f t="shared" si="26"/>
        <v>0</v>
      </c>
      <c r="AB84" t="str">
        <f t="shared" si="32"/>
        <v>nem</v>
      </c>
    </row>
    <row r="85" spans="1:28" x14ac:dyDescent="0.25">
      <c r="A85" t="s">
        <v>128</v>
      </c>
      <c r="B85" t="s">
        <v>26</v>
      </c>
      <c r="C85">
        <v>47.3940415</v>
      </c>
      <c r="D85">
        <f t="shared" si="27"/>
        <v>0.82718207000183208</v>
      </c>
      <c r="E85">
        <v>13.686787799999999</v>
      </c>
      <c r="F85">
        <f t="shared" si="28"/>
        <v>0.23887951113179115</v>
      </c>
      <c r="G85">
        <f t="shared" si="31"/>
        <v>402.66240292007546</v>
      </c>
      <c r="H85" t="s">
        <v>129</v>
      </c>
      <c r="I85">
        <v>2015</v>
      </c>
      <c r="J85">
        <v>745</v>
      </c>
      <c r="K85">
        <v>46</v>
      </c>
      <c r="L85">
        <v>68</v>
      </c>
      <c r="M85">
        <v>8</v>
      </c>
      <c r="N85">
        <f t="shared" si="29"/>
        <v>122</v>
      </c>
      <c r="O85">
        <v>4</v>
      </c>
      <c r="P85" t="str">
        <f t="shared" si="30"/>
        <v>Nem</v>
      </c>
      <c r="W85" t="b">
        <f t="shared" si="22"/>
        <v>0</v>
      </c>
      <c r="X85" t="b">
        <f t="shared" si="23"/>
        <v>0</v>
      </c>
      <c r="Y85" t="b">
        <f t="shared" si="24"/>
        <v>0</v>
      </c>
      <c r="Z85" t="b">
        <f t="shared" si="25"/>
        <v>0</v>
      </c>
      <c r="AA85" t="b">
        <f t="shared" si="26"/>
        <v>0</v>
      </c>
      <c r="AB85" t="str">
        <f t="shared" si="32"/>
        <v>nem</v>
      </c>
    </row>
    <row r="86" spans="1:28" x14ac:dyDescent="0.25">
      <c r="A86" t="s">
        <v>130</v>
      </c>
      <c r="B86" t="s">
        <v>26</v>
      </c>
      <c r="C86">
        <v>47.519272450000003</v>
      </c>
      <c r="D86">
        <f t="shared" si="27"/>
        <v>0.82936776240473253</v>
      </c>
      <c r="E86">
        <v>12.29224775</v>
      </c>
      <c r="F86">
        <f t="shared" si="28"/>
        <v>0.2145401957083648</v>
      </c>
      <c r="G86">
        <f t="shared" si="31"/>
        <v>506.68697079612957</v>
      </c>
      <c r="H86" t="s">
        <v>27</v>
      </c>
      <c r="I86">
        <v>1957</v>
      </c>
      <c r="J86">
        <v>620</v>
      </c>
      <c r="K86">
        <v>122</v>
      </c>
      <c r="L86">
        <v>129</v>
      </c>
      <c r="M86">
        <v>33</v>
      </c>
      <c r="N86">
        <f t="shared" si="29"/>
        <v>284</v>
      </c>
      <c r="O86">
        <v>7</v>
      </c>
      <c r="P86" t="str">
        <f t="shared" si="30"/>
        <v>Nem</v>
      </c>
      <c r="W86" t="b">
        <f t="shared" si="22"/>
        <v>0</v>
      </c>
      <c r="X86" t="b">
        <f t="shared" si="23"/>
        <v>0</v>
      </c>
      <c r="Y86" t="b">
        <f t="shared" si="24"/>
        <v>0</v>
      </c>
      <c r="Z86" t="b">
        <f t="shared" si="25"/>
        <v>0</v>
      </c>
      <c r="AA86" t="b">
        <f t="shared" si="26"/>
        <v>0</v>
      </c>
      <c r="AB86" t="str">
        <f t="shared" si="32"/>
        <v>nem</v>
      </c>
    </row>
    <row r="87" spans="1:28" x14ac:dyDescent="0.25">
      <c r="A87" t="s">
        <v>131</v>
      </c>
      <c r="B87" t="s">
        <v>26</v>
      </c>
      <c r="C87">
        <v>47.293306200000004</v>
      </c>
      <c r="D87">
        <f t="shared" si="27"/>
        <v>0.82542390734384796</v>
      </c>
      <c r="E87">
        <v>13.456896199999999</v>
      </c>
      <c r="F87">
        <f t="shared" si="28"/>
        <v>0.23486714578911333</v>
      </c>
      <c r="G87">
        <f t="shared" si="31"/>
        <v>420.79042858105322</v>
      </c>
      <c r="H87" t="s">
        <v>129</v>
      </c>
      <c r="I87">
        <v>2188</v>
      </c>
      <c r="J87">
        <v>1000</v>
      </c>
      <c r="K87">
        <v>23</v>
      </c>
      <c r="L87">
        <v>16</v>
      </c>
      <c r="M87">
        <v>4</v>
      </c>
      <c r="N87">
        <f t="shared" si="29"/>
        <v>43</v>
      </c>
      <c r="O87">
        <v>6</v>
      </c>
      <c r="P87" t="str">
        <f t="shared" si="30"/>
        <v>Nem</v>
      </c>
      <c r="W87" t="b">
        <f t="shared" si="22"/>
        <v>0</v>
      </c>
      <c r="X87" t="b">
        <f t="shared" si="23"/>
        <v>0</v>
      </c>
      <c r="Y87" t="b">
        <f t="shared" si="24"/>
        <v>0</v>
      </c>
      <c r="Z87" t="b">
        <f t="shared" si="25"/>
        <v>0</v>
      </c>
      <c r="AA87" t="b">
        <f t="shared" si="26"/>
        <v>0</v>
      </c>
      <c r="AB87" t="str">
        <f t="shared" si="32"/>
        <v>nem</v>
      </c>
    </row>
    <row r="88" spans="1:28" x14ac:dyDescent="0.25">
      <c r="A88" t="s">
        <v>132</v>
      </c>
      <c r="B88" t="s">
        <v>26</v>
      </c>
      <c r="C88">
        <v>47.383187900000003</v>
      </c>
      <c r="D88">
        <f t="shared" si="27"/>
        <v>0.82699263894613773</v>
      </c>
      <c r="E88">
        <v>12.22174856</v>
      </c>
      <c r="F88">
        <f t="shared" si="28"/>
        <v>0.21330975272287575</v>
      </c>
      <c r="G88">
        <f t="shared" si="31"/>
        <v>512.79357739663283</v>
      </c>
      <c r="H88" t="s">
        <v>27</v>
      </c>
      <c r="I88">
        <v>1957</v>
      </c>
      <c r="J88">
        <v>620</v>
      </c>
      <c r="K88">
        <v>122</v>
      </c>
      <c r="L88">
        <v>129</v>
      </c>
      <c r="M88">
        <v>33</v>
      </c>
      <c r="N88">
        <f t="shared" si="29"/>
        <v>284</v>
      </c>
      <c r="O88">
        <v>0</v>
      </c>
      <c r="P88" t="str">
        <f t="shared" si="30"/>
        <v>Nem</v>
      </c>
      <c r="W88" t="b">
        <f t="shared" si="22"/>
        <v>0</v>
      </c>
      <c r="X88" t="b">
        <f t="shared" si="23"/>
        <v>0</v>
      </c>
      <c r="Y88" t="b">
        <f t="shared" si="24"/>
        <v>0</v>
      </c>
      <c r="Z88" t="b">
        <f t="shared" si="25"/>
        <v>0</v>
      </c>
      <c r="AA88" t="b">
        <f t="shared" si="26"/>
        <v>0</v>
      </c>
      <c r="AB88" t="str">
        <f t="shared" si="32"/>
        <v>nem</v>
      </c>
    </row>
    <row r="89" spans="1:28" x14ac:dyDescent="0.25">
      <c r="A89" t="s">
        <v>133</v>
      </c>
      <c r="B89" t="s">
        <v>26</v>
      </c>
      <c r="C89">
        <v>47.035033349999999</v>
      </c>
      <c r="D89">
        <f t="shared" si="27"/>
        <v>0.82091619574283847</v>
      </c>
      <c r="E89">
        <v>9.9767785890000003</v>
      </c>
      <c r="F89">
        <f t="shared" si="28"/>
        <v>0.17412763512052412</v>
      </c>
      <c r="G89">
        <f t="shared" si="31"/>
        <v>685.43142732580998</v>
      </c>
      <c r="H89" t="s">
        <v>23</v>
      </c>
      <c r="I89">
        <v>2430</v>
      </c>
      <c r="J89">
        <v>700</v>
      </c>
      <c r="K89">
        <v>60</v>
      </c>
      <c r="L89">
        <v>45</v>
      </c>
      <c r="M89">
        <v>8</v>
      </c>
      <c r="N89">
        <f t="shared" si="29"/>
        <v>113</v>
      </c>
      <c r="O89">
        <v>12</v>
      </c>
      <c r="P89" t="str">
        <f t="shared" si="30"/>
        <v>Nem</v>
      </c>
      <c r="W89" t="b">
        <f t="shared" si="22"/>
        <v>0</v>
      </c>
      <c r="X89" t="b">
        <f t="shared" si="23"/>
        <v>0</v>
      </c>
      <c r="Y89" t="b">
        <f t="shared" si="24"/>
        <v>0</v>
      </c>
      <c r="Z89" t="b">
        <f t="shared" si="25"/>
        <v>0</v>
      </c>
      <c r="AA89" t="b">
        <f t="shared" si="26"/>
        <v>0</v>
      </c>
      <c r="AB89" t="str">
        <f t="shared" si="32"/>
        <v>nem</v>
      </c>
    </row>
    <row r="90" spans="1:28" x14ac:dyDescent="0.25">
      <c r="A90" t="s">
        <v>134</v>
      </c>
      <c r="B90" t="s">
        <v>26</v>
      </c>
      <c r="C90">
        <v>47.194716999999997</v>
      </c>
      <c r="D90">
        <f t="shared" si="27"/>
        <v>0.82370320119694063</v>
      </c>
      <c r="E90">
        <v>10.160197999999999</v>
      </c>
      <c r="F90">
        <f t="shared" si="28"/>
        <v>0.17732890775454282</v>
      </c>
      <c r="G90">
        <f t="shared" si="31"/>
        <v>669.521633347842</v>
      </c>
      <c r="H90" t="s">
        <v>27</v>
      </c>
      <c r="I90">
        <v>2811</v>
      </c>
      <c r="J90">
        <v>1270</v>
      </c>
      <c r="K90">
        <v>130</v>
      </c>
      <c r="L90">
        <v>123</v>
      </c>
      <c r="M90">
        <v>51</v>
      </c>
      <c r="N90">
        <f t="shared" si="29"/>
        <v>304</v>
      </c>
      <c r="O90">
        <v>0</v>
      </c>
      <c r="P90" t="str">
        <f t="shared" si="30"/>
        <v>Nem</v>
      </c>
      <c r="W90" t="b">
        <f t="shared" si="22"/>
        <v>0</v>
      </c>
      <c r="X90" t="b">
        <f t="shared" si="23"/>
        <v>0</v>
      </c>
      <c r="Y90" t="b">
        <f t="shared" si="24"/>
        <v>0</v>
      </c>
      <c r="Z90" t="b">
        <f t="shared" si="25"/>
        <v>0</v>
      </c>
      <c r="AA90" t="b">
        <f t="shared" si="26"/>
        <v>0</v>
      </c>
      <c r="AB90" t="str">
        <f t="shared" si="32"/>
        <v>nem</v>
      </c>
    </row>
    <row r="91" spans="1:28" x14ac:dyDescent="0.25">
      <c r="A91" t="s">
        <v>135</v>
      </c>
      <c r="B91" t="s">
        <v>26</v>
      </c>
      <c r="C91">
        <v>47.503177999999998</v>
      </c>
      <c r="D91">
        <f t="shared" si="27"/>
        <v>0.82908686126093489</v>
      </c>
      <c r="E91">
        <v>12.190132</v>
      </c>
      <c r="F91">
        <f t="shared" si="28"/>
        <v>0.21275793965272141</v>
      </c>
      <c r="G91">
        <f t="shared" si="31"/>
        <v>514.42320472424217</v>
      </c>
      <c r="H91" t="s">
        <v>27</v>
      </c>
      <c r="I91">
        <v>1957</v>
      </c>
      <c r="J91">
        <v>620</v>
      </c>
      <c r="K91">
        <v>122</v>
      </c>
      <c r="L91">
        <v>129</v>
      </c>
      <c r="M91">
        <v>33</v>
      </c>
      <c r="N91">
        <f t="shared" si="29"/>
        <v>284</v>
      </c>
      <c r="O91">
        <v>0</v>
      </c>
      <c r="P91" t="str">
        <f t="shared" si="30"/>
        <v>Nem</v>
      </c>
      <c r="W91" t="b">
        <f t="shared" si="22"/>
        <v>0</v>
      </c>
      <c r="X91" t="b">
        <f t="shared" si="23"/>
        <v>0</v>
      </c>
      <c r="Y91" t="b">
        <f t="shared" si="24"/>
        <v>0</v>
      </c>
      <c r="Z91" t="b">
        <f t="shared" si="25"/>
        <v>0</v>
      </c>
      <c r="AA91" t="b">
        <f t="shared" si="26"/>
        <v>0</v>
      </c>
      <c r="AB91" t="str">
        <f t="shared" si="32"/>
        <v>nem</v>
      </c>
    </row>
    <row r="92" spans="1:28" x14ac:dyDescent="0.25">
      <c r="A92" t="s">
        <v>136</v>
      </c>
      <c r="B92" t="s">
        <v>26</v>
      </c>
      <c r="C92">
        <v>47.522414099999999</v>
      </c>
      <c r="D92">
        <f t="shared" si="27"/>
        <v>0.82942259454117773</v>
      </c>
      <c r="E92">
        <v>12.4286809</v>
      </c>
      <c r="F92">
        <f t="shared" si="28"/>
        <v>0.21692140338473209</v>
      </c>
      <c r="G92">
        <f t="shared" si="31"/>
        <v>496.43600439226185</v>
      </c>
      <c r="H92" t="s">
        <v>27</v>
      </c>
      <c r="I92">
        <v>1604</v>
      </c>
      <c r="J92">
        <v>659</v>
      </c>
      <c r="K92">
        <v>16</v>
      </c>
      <c r="L92">
        <v>23</v>
      </c>
      <c r="M92">
        <v>3</v>
      </c>
      <c r="N92">
        <f t="shared" si="29"/>
        <v>42</v>
      </c>
      <c r="O92">
        <v>8</v>
      </c>
      <c r="P92" t="str">
        <f t="shared" si="30"/>
        <v>Nem</v>
      </c>
      <c r="W92" t="b">
        <f t="shared" si="22"/>
        <v>0</v>
      </c>
      <c r="X92" t="b">
        <f t="shared" si="23"/>
        <v>0</v>
      </c>
      <c r="Y92" t="b">
        <f t="shared" si="24"/>
        <v>0</v>
      </c>
      <c r="Z92" t="b">
        <f t="shared" si="25"/>
        <v>0</v>
      </c>
      <c r="AA92" t="b">
        <f t="shared" si="26"/>
        <v>0</v>
      </c>
      <c r="AB92" t="str">
        <f t="shared" si="32"/>
        <v>nem</v>
      </c>
    </row>
    <row r="93" spans="1:28" x14ac:dyDescent="0.25">
      <c r="A93" t="s">
        <v>137</v>
      </c>
      <c r="B93" t="s">
        <v>26</v>
      </c>
      <c r="C93">
        <v>47.022264</v>
      </c>
      <c r="D93">
        <f t="shared" si="27"/>
        <v>0.82069332854199895</v>
      </c>
      <c r="E93">
        <v>15.4708255</v>
      </c>
      <c r="F93">
        <f t="shared" si="28"/>
        <v>0.27001684297649797</v>
      </c>
      <c r="G93">
        <f t="shared" si="31"/>
        <v>274.48178343529275</v>
      </c>
      <c r="H93" t="s">
        <v>27</v>
      </c>
      <c r="I93">
        <v>2811</v>
      </c>
      <c r="J93">
        <v>1270</v>
      </c>
      <c r="K93">
        <v>130</v>
      </c>
      <c r="L93">
        <v>123</v>
      </c>
      <c r="M93">
        <v>51</v>
      </c>
      <c r="N93">
        <f t="shared" si="29"/>
        <v>304</v>
      </c>
      <c r="O93">
        <v>0</v>
      </c>
      <c r="P93" t="str">
        <f t="shared" si="30"/>
        <v>Nem</v>
      </c>
      <c r="W93" t="b">
        <f t="shared" si="22"/>
        <v>0</v>
      </c>
      <c r="X93" t="b">
        <f t="shared" si="23"/>
        <v>0</v>
      </c>
      <c r="Y93" t="b">
        <f t="shared" si="24"/>
        <v>0</v>
      </c>
      <c r="Z93" t="b">
        <f t="shared" si="25"/>
        <v>0</v>
      </c>
      <c r="AA93" t="b">
        <f t="shared" si="26"/>
        <v>0</v>
      </c>
      <c r="AB93" t="str">
        <f t="shared" si="32"/>
        <v>nem</v>
      </c>
    </row>
    <row r="94" spans="1:28" x14ac:dyDescent="0.25">
      <c r="A94" t="s">
        <v>138</v>
      </c>
      <c r="B94" t="s">
        <v>40</v>
      </c>
      <c r="C94">
        <v>45.787424799999997</v>
      </c>
      <c r="D94">
        <f t="shared" si="27"/>
        <v>0.79914131876930605</v>
      </c>
      <c r="E94">
        <v>6.9730618</v>
      </c>
      <c r="F94">
        <f t="shared" si="28"/>
        <v>0.12170288735504232</v>
      </c>
      <c r="G94">
        <f t="shared" si="31"/>
        <v>939.61382576871119</v>
      </c>
      <c r="I94">
        <v>2755</v>
      </c>
      <c r="J94">
        <v>1205</v>
      </c>
      <c r="K94">
        <v>16</v>
      </c>
      <c r="L94">
        <v>21</v>
      </c>
      <c r="M94">
        <v>4</v>
      </c>
      <c r="N94">
        <f t="shared" si="29"/>
        <v>41</v>
      </c>
      <c r="O94">
        <v>0</v>
      </c>
      <c r="P94" t="str">
        <f t="shared" si="30"/>
        <v>Nem</v>
      </c>
      <c r="W94" t="b">
        <f t="shared" si="22"/>
        <v>0</v>
      </c>
      <c r="X94" t="b">
        <f t="shared" si="23"/>
        <v>0</v>
      </c>
      <c r="Y94" t="b">
        <f t="shared" si="24"/>
        <v>0</v>
      </c>
      <c r="Z94" t="b">
        <f t="shared" si="25"/>
        <v>0</v>
      </c>
      <c r="AA94" t="b">
        <f t="shared" si="26"/>
        <v>0</v>
      </c>
      <c r="AB94" t="str">
        <f t="shared" si="32"/>
        <v>nem</v>
      </c>
    </row>
    <row r="95" spans="1:28" x14ac:dyDescent="0.25">
      <c r="A95" t="s">
        <v>139</v>
      </c>
      <c r="B95" t="s">
        <v>140</v>
      </c>
      <c r="C95">
        <v>37.095751200000002</v>
      </c>
      <c r="D95">
        <f t="shared" si="27"/>
        <v>0.64744299694063756</v>
      </c>
      <c r="E95">
        <v>-3.3878850040000001</v>
      </c>
      <c r="F95">
        <f t="shared" si="28"/>
        <v>-5.9129747998741267E-2</v>
      </c>
      <c r="G95">
        <f t="shared" si="31"/>
        <v>2165.229682333535</v>
      </c>
      <c r="H95" t="s">
        <v>21</v>
      </c>
      <c r="I95">
        <v>3282</v>
      </c>
      <c r="J95">
        <v>2100</v>
      </c>
      <c r="K95">
        <v>50</v>
      </c>
      <c r="L95">
        <v>49</v>
      </c>
      <c r="M95">
        <v>7</v>
      </c>
      <c r="N95">
        <f t="shared" si="29"/>
        <v>106</v>
      </c>
      <c r="O95">
        <v>0</v>
      </c>
      <c r="P95" t="str">
        <f t="shared" si="30"/>
        <v>Nem</v>
      </c>
      <c r="W95" t="b">
        <f t="shared" si="22"/>
        <v>0</v>
      </c>
      <c r="X95" t="b">
        <f t="shared" si="23"/>
        <v>0</v>
      </c>
      <c r="Y95" t="b">
        <f t="shared" si="24"/>
        <v>0</v>
      </c>
      <c r="Z95" t="b">
        <f t="shared" si="25"/>
        <v>0</v>
      </c>
      <c r="AA95" t="b">
        <f t="shared" si="26"/>
        <v>0</v>
      </c>
      <c r="AB95" t="str">
        <f t="shared" si="32"/>
        <v>nem</v>
      </c>
    </row>
    <row r="96" spans="1:28" x14ac:dyDescent="0.25">
      <c r="A96" t="s">
        <v>141</v>
      </c>
      <c r="B96" t="s">
        <v>40</v>
      </c>
      <c r="C96">
        <v>46.538333199999997</v>
      </c>
      <c r="D96">
        <f t="shared" si="27"/>
        <v>0.81224714273018872</v>
      </c>
      <c r="E96">
        <v>12.1373506</v>
      </c>
      <c r="F96">
        <f t="shared" si="28"/>
        <v>0.21183673043890927</v>
      </c>
      <c r="G96">
        <f t="shared" si="31"/>
        <v>533.87556016299322</v>
      </c>
      <c r="H96" t="s">
        <v>23</v>
      </c>
      <c r="I96">
        <v>2924</v>
      </c>
      <c r="J96">
        <v>1224</v>
      </c>
      <c r="K96">
        <v>45</v>
      </c>
      <c r="L96">
        <v>55</v>
      </c>
      <c r="M96">
        <v>20</v>
      </c>
      <c r="N96">
        <f t="shared" si="29"/>
        <v>120</v>
      </c>
      <c r="O96">
        <v>11</v>
      </c>
      <c r="P96" t="str">
        <f t="shared" si="30"/>
        <v>Nem</v>
      </c>
      <c r="W96" t="b">
        <f t="shared" si="22"/>
        <v>0</v>
      </c>
      <c r="X96" t="b">
        <f t="shared" si="23"/>
        <v>0</v>
      </c>
      <c r="Y96" t="b">
        <f t="shared" si="24"/>
        <v>0</v>
      </c>
      <c r="Z96" t="b">
        <f t="shared" si="25"/>
        <v>0</v>
      </c>
      <c r="AA96" t="b">
        <f t="shared" si="26"/>
        <v>0</v>
      </c>
      <c r="AB96" t="str">
        <f t="shared" si="32"/>
        <v>nem</v>
      </c>
    </row>
    <row r="97" spans="1:28" x14ac:dyDescent="0.25">
      <c r="A97" t="s">
        <v>142</v>
      </c>
      <c r="B97" t="s">
        <v>40</v>
      </c>
      <c r="C97">
        <v>46.769961700000003</v>
      </c>
      <c r="D97">
        <f t="shared" si="27"/>
        <v>0.81628982269664452</v>
      </c>
      <c r="E97">
        <v>10.7974224</v>
      </c>
      <c r="F97">
        <f t="shared" si="28"/>
        <v>0.18845057160858819</v>
      </c>
      <c r="G97">
        <f t="shared" si="31"/>
        <v>628.44980927505776</v>
      </c>
      <c r="H97" t="s">
        <v>66</v>
      </c>
      <c r="I97">
        <v>3212</v>
      </c>
      <c r="J97">
        <v>2011</v>
      </c>
      <c r="K97">
        <v>8</v>
      </c>
      <c r="L97">
        <v>7</v>
      </c>
      <c r="M97">
        <v>11</v>
      </c>
      <c r="N97">
        <f t="shared" si="29"/>
        <v>26</v>
      </c>
      <c r="O97">
        <v>8</v>
      </c>
      <c r="P97" t="str">
        <f t="shared" si="30"/>
        <v>Nem</v>
      </c>
      <c r="W97" t="b">
        <f t="shared" ref="W97:W160" si="33">IFERROR(SEARCH("Jún",H97), FALSE)</f>
        <v>0</v>
      </c>
      <c r="X97" t="b">
        <f t="shared" ref="X97:X160" si="34">IFERROR(SEARCH("Júl",H97), FALSE)</f>
        <v>0</v>
      </c>
      <c r="Y97" t="b">
        <f t="shared" ref="Y97:Y160" si="35">IFERROR(SEARCH("Aug",H97), FALSE)</f>
        <v>0</v>
      </c>
      <c r="Z97" t="b">
        <f t="shared" ref="Z97:Z160" si="36">IFERROR(SEARCH("Egész évben",H97), FALSE)</f>
        <v>0</v>
      </c>
      <c r="AA97" t="b">
        <f t="shared" ref="AA97:AA160" si="37">OR(W97,X97,Y97,Z97)</f>
        <v>0</v>
      </c>
      <c r="AB97" t="str">
        <f t="shared" si="32"/>
        <v>nem</v>
      </c>
    </row>
    <row r="98" spans="1:28" x14ac:dyDescent="0.25">
      <c r="A98" t="s">
        <v>143</v>
      </c>
      <c r="B98" t="s">
        <v>37</v>
      </c>
      <c r="C98">
        <v>46.107342000000003</v>
      </c>
      <c r="D98">
        <f t="shared" si="27"/>
        <v>0.80472492724306743</v>
      </c>
      <c r="E98">
        <v>7.9247055</v>
      </c>
      <c r="F98">
        <f t="shared" si="28"/>
        <v>0.13831220322590349</v>
      </c>
      <c r="G98">
        <f t="shared" si="31"/>
        <v>859.28135579653599</v>
      </c>
      <c r="H98" t="s">
        <v>144</v>
      </c>
      <c r="I98">
        <v>3573</v>
      </c>
      <c r="J98">
        <v>1800</v>
      </c>
      <c r="K98">
        <v>20</v>
      </c>
      <c r="L98">
        <v>60</v>
      </c>
      <c r="M98">
        <v>20</v>
      </c>
      <c r="N98">
        <f t="shared" si="29"/>
        <v>100</v>
      </c>
      <c r="O98">
        <v>14</v>
      </c>
      <c r="P98" t="str">
        <f t="shared" si="30"/>
        <v>Igen</v>
      </c>
      <c r="W98" t="b">
        <f t="shared" si="33"/>
        <v>0</v>
      </c>
      <c r="X98">
        <f t="shared" si="34"/>
        <v>1</v>
      </c>
      <c r="Y98">
        <f t="shared" si="35"/>
        <v>6</v>
      </c>
      <c r="Z98" t="b">
        <f t="shared" si="36"/>
        <v>0</v>
      </c>
      <c r="AA98" t="b">
        <f t="shared" si="37"/>
        <v>1</v>
      </c>
      <c r="AB98" t="str">
        <f t="shared" si="32"/>
        <v>igen</v>
      </c>
    </row>
    <row r="99" spans="1:28" x14ac:dyDescent="0.25">
      <c r="A99" t="s">
        <v>145</v>
      </c>
      <c r="B99" t="s">
        <v>40</v>
      </c>
      <c r="C99">
        <v>45.8366951</v>
      </c>
      <c r="D99">
        <f t="shared" si="27"/>
        <v>0.8000012477277515</v>
      </c>
      <c r="E99">
        <v>7.7313716489999997</v>
      </c>
      <c r="F99">
        <f t="shared" si="28"/>
        <v>0.13493789097039335</v>
      </c>
      <c r="G99">
        <f t="shared" si="31"/>
        <v>881.62467484532704</v>
      </c>
      <c r="H99" t="s">
        <v>27</v>
      </c>
      <c r="I99">
        <v>3275</v>
      </c>
      <c r="J99">
        <v>1212</v>
      </c>
      <c r="K99">
        <v>23</v>
      </c>
      <c r="L99">
        <v>94</v>
      </c>
      <c r="M99">
        <v>15</v>
      </c>
      <c r="N99">
        <f t="shared" si="29"/>
        <v>132</v>
      </c>
      <c r="O99">
        <v>0</v>
      </c>
      <c r="P99" t="str">
        <f t="shared" si="30"/>
        <v>Nem</v>
      </c>
      <c r="W99" t="b">
        <f t="shared" si="33"/>
        <v>0</v>
      </c>
      <c r="X99" t="b">
        <f t="shared" si="34"/>
        <v>0</v>
      </c>
      <c r="Y99" t="b">
        <f t="shared" si="35"/>
        <v>0</v>
      </c>
      <c r="Z99" t="b">
        <f t="shared" si="36"/>
        <v>0</v>
      </c>
      <c r="AA99" t="b">
        <f t="shared" si="37"/>
        <v>0</v>
      </c>
      <c r="AB99" t="str">
        <f t="shared" si="32"/>
        <v>nem</v>
      </c>
    </row>
    <row r="100" spans="1:28" x14ac:dyDescent="0.25">
      <c r="A100" t="s">
        <v>146</v>
      </c>
      <c r="B100" t="s">
        <v>40</v>
      </c>
      <c r="C100">
        <v>46.738779100000002</v>
      </c>
      <c r="D100">
        <f t="shared" si="27"/>
        <v>0.81574558365731209</v>
      </c>
      <c r="E100">
        <v>11.9583111</v>
      </c>
      <c r="F100">
        <f t="shared" si="28"/>
        <v>0.20871190167278486</v>
      </c>
      <c r="G100">
        <f t="shared" si="31"/>
        <v>542.2746735197328</v>
      </c>
      <c r="H100" t="s">
        <v>23</v>
      </c>
      <c r="I100">
        <v>2275</v>
      </c>
      <c r="J100">
        <v>973</v>
      </c>
      <c r="K100">
        <v>52</v>
      </c>
      <c r="L100">
        <v>42</v>
      </c>
      <c r="M100">
        <v>25</v>
      </c>
      <c r="N100">
        <f t="shared" si="29"/>
        <v>119</v>
      </c>
      <c r="O100">
        <v>7</v>
      </c>
      <c r="P100" t="str">
        <f t="shared" si="30"/>
        <v>Nem</v>
      </c>
      <c r="W100" t="b">
        <f t="shared" si="33"/>
        <v>0</v>
      </c>
      <c r="X100" t="b">
        <f t="shared" si="34"/>
        <v>0</v>
      </c>
      <c r="Y100" t="b">
        <f t="shared" si="35"/>
        <v>0</v>
      </c>
      <c r="Z100" t="b">
        <f t="shared" si="36"/>
        <v>0</v>
      </c>
      <c r="AA100" t="b">
        <f t="shared" si="37"/>
        <v>0</v>
      </c>
      <c r="AB100" t="str">
        <f t="shared" si="32"/>
        <v>nem</v>
      </c>
    </row>
    <row r="101" spans="1:28" x14ac:dyDescent="0.25">
      <c r="A101" t="s">
        <v>147</v>
      </c>
      <c r="B101" t="s">
        <v>140</v>
      </c>
      <c r="C101">
        <v>42.7741349</v>
      </c>
      <c r="D101">
        <f t="shared" si="27"/>
        <v>0.74654948869721549</v>
      </c>
      <c r="E101">
        <v>-0.36086109999999999</v>
      </c>
      <c r="F101">
        <f t="shared" si="28"/>
        <v>-6.2982143373685098E-3</v>
      </c>
      <c r="G101">
        <f t="shared" si="31"/>
        <v>1604.801589502699</v>
      </c>
      <c r="H101" t="s">
        <v>23</v>
      </c>
      <c r="I101">
        <v>2251</v>
      </c>
      <c r="J101">
        <v>1501</v>
      </c>
      <c r="K101">
        <v>47</v>
      </c>
      <c r="L101">
        <v>70</v>
      </c>
      <c r="M101">
        <v>20</v>
      </c>
      <c r="N101">
        <f t="shared" si="29"/>
        <v>137</v>
      </c>
      <c r="O101">
        <v>6</v>
      </c>
      <c r="P101" t="str">
        <f t="shared" si="30"/>
        <v>Nem</v>
      </c>
      <c r="W101" t="b">
        <f t="shared" si="33"/>
        <v>0</v>
      </c>
      <c r="X101" t="b">
        <f t="shared" si="34"/>
        <v>0</v>
      </c>
      <c r="Y101" t="b">
        <f t="shared" si="35"/>
        <v>0</v>
      </c>
      <c r="Z101" t="b">
        <f t="shared" si="36"/>
        <v>0</v>
      </c>
      <c r="AA101" t="b">
        <f t="shared" si="37"/>
        <v>0</v>
      </c>
      <c r="AB101" t="str">
        <f t="shared" si="32"/>
        <v>nem</v>
      </c>
    </row>
    <row r="102" spans="1:28" x14ac:dyDescent="0.25">
      <c r="A102" t="s">
        <v>148</v>
      </c>
      <c r="B102" t="s">
        <v>140</v>
      </c>
      <c r="C102">
        <v>42.6988865</v>
      </c>
      <c r="D102">
        <f t="shared" si="27"/>
        <v>0.74523615636035778</v>
      </c>
      <c r="E102">
        <v>0.93471749999999998</v>
      </c>
      <c r="F102">
        <f t="shared" si="28"/>
        <v>1.6313897951010098E-2</v>
      </c>
      <c r="G102">
        <f t="shared" si="31"/>
        <v>1513.659011894867</v>
      </c>
      <c r="H102" t="s">
        <v>27</v>
      </c>
      <c r="I102">
        <v>2510</v>
      </c>
      <c r="J102">
        <v>1471</v>
      </c>
      <c r="K102">
        <v>79</v>
      </c>
      <c r="L102">
        <v>52</v>
      </c>
      <c r="M102">
        <v>19</v>
      </c>
      <c r="N102">
        <f t="shared" si="29"/>
        <v>150</v>
      </c>
      <c r="O102">
        <v>5</v>
      </c>
      <c r="P102" t="str">
        <f t="shared" si="30"/>
        <v>Nem</v>
      </c>
      <c r="W102" t="b">
        <f t="shared" si="33"/>
        <v>0</v>
      </c>
      <c r="X102" t="b">
        <f t="shared" si="34"/>
        <v>0</v>
      </c>
      <c r="Y102" t="b">
        <f t="shared" si="35"/>
        <v>0</v>
      </c>
      <c r="Z102" t="b">
        <f t="shared" si="36"/>
        <v>0</v>
      </c>
      <c r="AA102" t="b">
        <f t="shared" si="37"/>
        <v>0</v>
      </c>
      <c r="AB102" t="str">
        <f t="shared" si="32"/>
        <v>nem</v>
      </c>
    </row>
    <row r="103" spans="1:28" x14ac:dyDescent="0.25">
      <c r="A103" t="s">
        <v>149</v>
      </c>
      <c r="B103" t="s">
        <v>40</v>
      </c>
      <c r="C103">
        <v>45.025957099999999</v>
      </c>
      <c r="D103">
        <f t="shared" si="27"/>
        <v>0.78585120025671773</v>
      </c>
      <c r="E103">
        <v>6.8602827</v>
      </c>
      <c r="F103">
        <f t="shared" si="28"/>
        <v>0.11973452073260639</v>
      </c>
      <c r="G103">
        <f t="shared" si="31"/>
        <v>974.67425939570467</v>
      </c>
      <c r="H103" t="s">
        <v>23</v>
      </c>
      <c r="I103">
        <v>2749</v>
      </c>
      <c r="J103">
        <v>1372</v>
      </c>
      <c r="K103">
        <v>96</v>
      </c>
      <c r="L103">
        <v>220</v>
      </c>
      <c r="M103">
        <v>84</v>
      </c>
      <c r="N103">
        <f t="shared" si="29"/>
        <v>400</v>
      </c>
      <c r="O103">
        <v>0</v>
      </c>
      <c r="P103" t="str">
        <f t="shared" si="30"/>
        <v>Nem</v>
      </c>
      <c r="W103" t="b">
        <f t="shared" si="33"/>
        <v>0</v>
      </c>
      <c r="X103" t="b">
        <f t="shared" si="34"/>
        <v>0</v>
      </c>
      <c r="Y103" t="b">
        <f t="shared" si="35"/>
        <v>0</v>
      </c>
      <c r="Z103" t="b">
        <f t="shared" si="36"/>
        <v>0</v>
      </c>
      <c r="AA103" t="b">
        <f t="shared" si="37"/>
        <v>0</v>
      </c>
      <c r="AB103" t="str">
        <f t="shared" si="32"/>
        <v>nem</v>
      </c>
    </row>
    <row r="104" spans="1:28" x14ac:dyDescent="0.25">
      <c r="A104" t="s">
        <v>150</v>
      </c>
      <c r="B104" t="s">
        <v>37</v>
      </c>
      <c r="C104">
        <v>45.963008850000001</v>
      </c>
      <c r="D104">
        <f t="shared" si="27"/>
        <v>0.80220583855579253</v>
      </c>
      <c r="E104">
        <v>7.715412186</v>
      </c>
      <c r="F104">
        <f t="shared" si="28"/>
        <v>0.13465934579419314</v>
      </c>
      <c r="G104">
        <f t="shared" si="31"/>
        <v>879.00765008014514</v>
      </c>
      <c r="H104" t="s">
        <v>38</v>
      </c>
      <c r="I104">
        <v>3899</v>
      </c>
      <c r="J104">
        <v>1562</v>
      </c>
      <c r="K104">
        <v>75</v>
      </c>
      <c r="L104">
        <v>220</v>
      </c>
      <c r="M104">
        <v>27</v>
      </c>
      <c r="N104">
        <f t="shared" si="29"/>
        <v>322</v>
      </c>
      <c r="O104">
        <v>0</v>
      </c>
      <c r="P104" t="str">
        <f t="shared" si="30"/>
        <v>Igen</v>
      </c>
      <c r="W104" t="b">
        <f t="shared" si="33"/>
        <v>0</v>
      </c>
      <c r="X104" t="b">
        <f t="shared" si="34"/>
        <v>0</v>
      </c>
      <c r="Y104" t="b">
        <f t="shared" si="35"/>
        <v>0</v>
      </c>
      <c r="Z104">
        <f t="shared" si="36"/>
        <v>1</v>
      </c>
      <c r="AA104" t="b">
        <f t="shared" si="37"/>
        <v>1</v>
      </c>
      <c r="AB104" t="str">
        <f t="shared" si="32"/>
        <v>igen</v>
      </c>
    </row>
    <row r="105" spans="1:28" x14ac:dyDescent="0.25">
      <c r="A105" t="s">
        <v>151</v>
      </c>
      <c r="B105" t="s">
        <v>37</v>
      </c>
      <c r="C105">
        <v>46.464390899999998</v>
      </c>
      <c r="D105">
        <f t="shared" si="27"/>
        <v>0.81095660613869125</v>
      </c>
      <c r="E105">
        <v>7.3169684000000004</v>
      </c>
      <c r="F105">
        <f t="shared" si="28"/>
        <v>0.12770518984438148</v>
      </c>
      <c r="G105">
        <f t="shared" si="31"/>
        <v>895.8622252395437</v>
      </c>
      <c r="H105" t="s">
        <v>59</v>
      </c>
      <c r="I105">
        <v>1900</v>
      </c>
      <c r="J105">
        <v>1275</v>
      </c>
      <c r="K105">
        <v>3</v>
      </c>
      <c r="L105">
        <v>3</v>
      </c>
      <c r="M105">
        <v>2</v>
      </c>
      <c r="N105">
        <f t="shared" si="29"/>
        <v>8</v>
      </c>
      <c r="O105">
        <v>0</v>
      </c>
      <c r="P105" t="str">
        <f t="shared" si="30"/>
        <v>Nem</v>
      </c>
      <c r="W105" t="b">
        <f t="shared" si="33"/>
        <v>0</v>
      </c>
      <c r="X105" t="b">
        <f t="shared" si="34"/>
        <v>0</v>
      </c>
      <c r="Y105" t="b">
        <f t="shared" si="35"/>
        <v>0</v>
      </c>
      <c r="Z105" t="b">
        <f t="shared" si="36"/>
        <v>0</v>
      </c>
      <c r="AA105" t="b">
        <f t="shared" si="37"/>
        <v>0</v>
      </c>
      <c r="AB105" t="str">
        <f t="shared" si="32"/>
        <v>nem</v>
      </c>
    </row>
    <row r="106" spans="1:28" x14ac:dyDescent="0.25">
      <c r="A106" t="s">
        <v>152</v>
      </c>
      <c r="B106" t="s">
        <v>37</v>
      </c>
      <c r="C106">
        <v>46.451833499999999</v>
      </c>
      <c r="D106">
        <f t="shared" si="27"/>
        <v>0.81073743816320143</v>
      </c>
      <c r="E106">
        <v>7.2961778529999997</v>
      </c>
      <c r="F106">
        <f t="shared" si="28"/>
        <v>0.12734232634594084</v>
      </c>
      <c r="G106">
        <f t="shared" si="31"/>
        <v>897.7043289631041</v>
      </c>
      <c r="H106" t="s">
        <v>59</v>
      </c>
      <c r="I106">
        <v>1941</v>
      </c>
      <c r="J106">
        <v>1046</v>
      </c>
      <c r="K106">
        <v>3</v>
      </c>
      <c r="L106">
        <v>3</v>
      </c>
      <c r="M106">
        <v>1</v>
      </c>
      <c r="N106">
        <f t="shared" si="29"/>
        <v>7</v>
      </c>
      <c r="O106">
        <v>0</v>
      </c>
      <c r="P106" t="str">
        <f t="shared" si="30"/>
        <v>Nem</v>
      </c>
      <c r="W106" t="b">
        <f t="shared" si="33"/>
        <v>0</v>
      </c>
      <c r="X106" t="b">
        <f t="shared" si="34"/>
        <v>0</v>
      </c>
      <c r="Y106" t="b">
        <f t="shared" si="35"/>
        <v>0</v>
      </c>
      <c r="Z106" t="b">
        <f t="shared" si="36"/>
        <v>0</v>
      </c>
      <c r="AA106" t="b">
        <f t="shared" si="37"/>
        <v>0</v>
      </c>
      <c r="AB106" t="str">
        <f t="shared" si="32"/>
        <v>nem</v>
      </c>
    </row>
    <row r="107" spans="1:28" x14ac:dyDescent="0.25">
      <c r="A107" t="s">
        <v>153</v>
      </c>
      <c r="B107" t="s">
        <v>37</v>
      </c>
      <c r="C107">
        <v>46.330489900000003</v>
      </c>
      <c r="D107">
        <f t="shared" si="27"/>
        <v>0.80861959281697848</v>
      </c>
      <c r="E107">
        <v>7.5264358040000001</v>
      </c>
      <c r="F107">
        <f t="shared" si="28"/>
        <v>0.13136108571978661</v>
      </c>
      <c r="G107">
        <f t="shared" si="31"/>
        <v>883.28512394146424</v>
      </c>
      <c r="H107" t="s">
        <v>23</v>
      </c>
      <c r="I107">
        <v>1510</v>
      </c>
      <c r="J107">
        <v>540</v>
      </c>
      <c r="K107">
        <v>55</v>
      </c>
      <c r="L107">
        <v>70</v>
      </c>
      <c r="M107">
        <v>15</v>
      </c>
      <c r="N107">
        <f t="shared" si="29"/>
        <v>140</v>
      </c>
      <c r="O107">
        <v>12</v>
      </c>
      <c r="P107" t="str">
        <f t="shared" si="30"/>
        <v>Nem</v>
      </c>
      <c r="W107" t="b">
        <f t="shared" si="33"/>
        <v>0</v>
      </c>
      <c r="X107" t="b">
        <f t="shared" si="34"/>
        <v>0</v>
      </c>
      <c r="Y107" t="b">
        <f t="shared" si="35"/>
        <v>0</v>
      </c>
      <c r="Z107" t="b">
        <f t="shared" si="36"/>
        <v>0</v>
      </c>
      <c r="AA107" t="b">
        <f t="shared" si="37"/>
        <v>0</v>
      </c>
      <c r="AB107" t="str">
        <f t="shared" si="32"/>
        <v>nem</v>
      </c>
    </row>
    <row r="108" spans="1:28" x14ac:dyDescent="0.25">
      <c r="A108" t="s">
        <v>154</v>
      </c>
      <c r="B108" t="s">
        <v>37</v>
      </c>
      <c r="C108">
        <v>46.840873049999999</v>
      </c>
      <c r="D108">
        <f t="shared" si="27"/>
        <v>0.81752745923117853</v>
      </c>
      <c r="E108">
        <v>8.4106382590000006</v>
      </c>
      <c r="F108">
        <f t="shared" si="28"/>
        <v>0.14679332981375362</v>
      </c>
      <c r="G108">
        <f t="shared" si="31"/>
        <v>806.21059577832</v>
      </c>
      <c r="H108" t="s">
        <v>27</v>
      </c>
      <c r="I108">
        <v>2040</v>
      </c>
      <c r="J108">
        <v>1050</v>
      </c>
      <c r="K108">
        <v>2</v>
      </c>
      <c r="L108">
        <v>3</v>
      </c>
      <c r="M108">
        <v>2</v>
      </c>
      <c r="N108">
        <f t="shared" si="29"/>
        <v>7</v>
      </c>
      <c r="O108">
        <v>0</v>
      </c>
      <c r="P108" t="str">
        <f t="shared" si="30"/>
        <v>Nem</v>
      </c>
      <c r="W108" t="b">
        <f t="shared" si="33"/>
        <v>0</v>
      </c>
      <c r="X108" t="b">
        <f t="shared" si="34"/>
        <v>0</v>
      </c>
      <c r="Y108" t="b">
        <f t="shared" si="35"/>
        <v>0</v>
      </c>
      <c r="Z108" t="b">
        <f t="shared" si="36"/>
        <v>0</v>
      </c>
      <c r="AA108" t="b">
        <f t="shared" si="37"/>
        <v>0</v>
      </c>
      <c r="AB108" t="str">
        <f t="shared" si="32"/>
        <v>nem</v>
      </c>
    </row>
    <row r="109" spans="1:28" x14ac:dyDescent="0.25">
      <c r="A109" t="s">
        <v>155</v>
      </c>
      <c r="B109" t="s">
        <v>37</v>
      </c>
      <c r="C109">
        <v>46.7548885</v>
      </c>
      <c r="D109">
        <f t="shared" si="27"/>
        <v>0.81602674572783285</v>
      </c>
      <c r="E109">
        <v>9.5660244080000005</v>
      </c>
      <c r="F109">
        <f t="shared" si="28"/>
        <v>0.1669586222457414</v>
      </c>
      <c r="G109">
        <f t="shared" si="31"/>
        <v>721.06054185068331</v>
      </c>
      <c r="H109" t="s">
        <v>125</v>
      </c>
      <c r="I109">
        <v>2865</v>
      </c>
      <c r="J109">
        <v>1229</v>
      </c>
      <c r="K109">
        <v>111</v>
      </c>
      <c r="L109">
        <v>87</v>
      </c>
      <c r="M109">
        <v>27</v>
      </c>
      <c r="N109">
        <f t="shared" si="29"/>
        <v>225</v>
      </c>
      <c r="O109">
        <v>4</v>
      </c>
      <c r="P109" t="str">
        <f t="shared" si="30"/>
        <v>Nem</v>
      </c>
      <c r="W109" t="b">
        <f t="shared" si="33"/>
        <v>0</v>
      </c>
      <c r="X109" t="b">
        <f t="shared" si="34"/>
        <v>0</v>
      </c>
      <c r="Y109" t="b">
        <f t="shared" si="35"/>
        <v>0</v>
      </c>
      <c r="Z109" t="b">
        <f t="shared" si="36"/>
        <v>0</v>
      </c>
      <c r="AA109" t="b">
        <f t="shared" si="37"/>
        <v>0</v>
      </c>
      <c r="AB109" t="str">
        <f t="shared" si="32"/>
        <v>nem</v>
      </c>
    </row>
    <row r="110" spans="1:28" x14ac:dyDescent="0.25">
      <c r="A110" t="s">
        <v>156</v>
      </c>
      <c r="B110" t="s">
        <v>37</v>
      </c>
      <c r="C110">
        <v>46.100354500000002</v>
      </c>
      <c r="D110">
        <f t="shared" si="27"/>
        <v>0.80460297236158429</v>
      </c>
      <c r="E110">
        <v>7.276506393</v>
      </c>
      <c r="F110">
        <f t="shared" si="28"/>
        <v>0.12699899460026648</v>
      </c>
      <c r="G110">
        <f t="shared" si="31"/>
        <v>907.91139493678156</v>
      </c>
      <c r="H110" t="s">
        <v>27</v>
      </c>
      <c r="I110">
        <v>3330</v>
      </c>
      <c r="J110">
        <v>821</v>
      </c>
      <c r="K110">
        <v>107</v>
      </c>
      <c r="L110">
        <v>202</v>
      </c>
      <c r="M110">
        <v>103</v>
      </c>
      <c r="N110">
        <f t="shared" si="29"/>
        <v>412</v>
      </c>
      <c r="O110">
        <v>8</v>
      </c>
      <c r="P110" t="str">
        <f t="shared" si="30"/>
        <v>Nem</v>
      </c>
      <c r="W110" t="b">
        <f t="shared" si="33"/>
        <v>0</v>
      </c>
      <c r="X110" t="b">
        <f t="shared" si="34"/>
        <v>0</v>
      </c>
      <c r="Y110" t="b">
        <f t="shared" si="35"/>
        <v>0</v>
      </c>
      <c r="Z110" t="b">
        <f t="shared" si="36"/>
        <v>0</v>
      </c>
      <c r="AA110" t="b">
        <f t="shared" si="37"/>
        <v>0</v>
      </c>
      <c r="AB110" t="str">
        <f t="shared" si="32"/>
        <v>nem</v>
      </c>
    </row>
    <row r="111" spans="1:28" x14ac:dyDescent="0.25">
      <c r="A111" t="s">
        <v>157</v>
      </c>
      <c r="B111" t="s">
        <v>37</v>
      </c>
      <c r="C111">
        <v>46.507994500000002</v>
      </c>
      <c r="D111">
        <f t="shared" si="27"/>
        <v>0.81171763252441398</v>
      </c>
      <c r="E111">
        <v>9.8189589999999995</v>
      </c>
      <c r="F111">
        <f t="shared" si="28"/>
        <v>0.17137316366832989</v>
      </c>
      <c r="G111">
        <f t="shared" si="31"/>
        <v>707.42788827188292</v>
      </c>
      <c r="H111" t="s">
        <v>23</v>
      </c>
      <c r="I111">
        <v>3057</v>
      </c>
      <c r="J111">
        <v>1720</v>
      </c>
      <c r="K111">
        <v>42</v>
      </c>
      <c r="L111">
        <v>79</v>
      </c>
      <c r="M111">
        <v>34</v>
      </c>
      <c r="N111">
        <f t="shared" si="29"/>
        <v>155</v>
      </c>
      <c r="O111">
        <v>6</v>
      </c>
      <c r="P111" t="str">
        <f t="shared" si="30"/>
        <v>Nem</v>
      </c>
      <c r="W111" t="b">
        <f t="shared" si="33"/>
        <v>0</v>
      </c>
      <c r="X111" t="b">
        <f t="shared" si="34"/>
        <v>0</v>
      </c>
      <c r="Y111" t="b">
        <f t="shared" si="35"/>
        <v>0</v>
      </c>
      <c r="Z111" t="b">
        <f t="shared" si="36"/>
        <v>0</v>
      </c>
      <c r="AA111" t="b">
        <f t="shared" si="37"/>
        <v>0</v>
      </c>
      <c r="AB111" t="str">
        <f t="shared" si="32"/>
        <v>nem</v>
      </c>
    </row>
    <row r="112" spans="1:28" x14ac:dyDescent="0.25">
      <c r="A112" t="s">
        <v>158</v>
      </c>
      <c r="B112" t="s">
        <v>43</v>
      </c>
      <c r="C112">
        <v>44.901137400000003</v>
      </c>
      <c r="D112">
        <f t="shared" si="27"/>
        <v>0.78367268552036617</v>
      </c>
      <c r="E112">
        <v>5.5662216000000004</v>
      </c>
      <c r="F112">
        <f t="shared" si="28"/>
        <v>9.7148893815626816E-2</v>
      </c>
      <c r="G112">
        <f t="shared" si="31"/>
        <v>1074.8901028663406</v>
      </c>
      <c r="H112" t="s">
        <v>59</v>
      </c>
      <c r="I112">
        <v>1751</v>
      </c>
      <c r="J112">
        <v>1245</v>
      </c>
      <c r="K112">
        <v>8</v>
      </c>
      <c r="L112">
        <v>7</v>
      </c>
      <c r="M112">
        <v>5</v>
      </c>
      <c r="N112">
        <f t="shared" si="29"/>
        <v>20</v>
      </c>
      <c r="O112">
        <v>0</v>
      </c>
      <c r="P112" t="str">
        <f t="shared" si="30"/>
        <v>Nem</v>
      </c>
      <c r="W112" t="b">
        <f t="shared" si="33"/>
        <v>0</v>
      </c>
      <c r="X112" t="b">
        <f t="shared" si="34"/>
        <v>0</v>
      </c>
      <c r="Y112" t="b">
        <f t="shared" si="35"/>
        <v>0</v>
      </c>
      <c r="Z112" t="b">
        <f t="shared" si="36"/>
        <v>0</v>
      </c>
      <c r="AA112" t="b">
        <f t="shared" si="37"/>
        <v>0</v>
      </c>
      <c r="AB112" t="str">
        <f t="shared" si="32"/>
        <v>nem</v>
      </c>
    </row>
    <row r="113" spans="1:28" x14ac:dyDescent="0.25">
      <c r="A113" t="s">
        <v>159</v>
      </c>
      <c r="B113" t="s">
        <v>37</v>
      </c>
      <c r="C113">
        <v>46.100354500000002</v>
      </c>
      <c r="D113">
        <f t="shared" si="27"/>
        <v>0.80460297236158429</v>
      </c>
      <c r="E113">
        <v>7.276506393</v>
      </c>
      <c r="F113">
        <f t="shared" si="28"/>
        <v>0.12699899460026648</v>
      </c>
      <c r="G113">
        <f t="shared" si="31"/>
        <v>907.91139493678156</v>
      </c>
      <c r="H113" t="s">
        <v>27</v>
      </c>
      <c r="I113">
        <v>3330</v>
      </c>
      <c r="J113">
        <v>821</v>
      </c>
      <c r="K113">
        <v>107</v>
      </c>
      <c r="L113">
        <v>202</v>
      </c>
      <c r="M113">
        <v>103</v>
      </c>
      <c r="N113">
        <f t="shared" si="29"/>
        <v>412</v>
      </c>
      <c r="O113">
        <v>8</v>
      </c>
      <c r="P113" t="str">
        <f t="shared" si="30"/>
        <v>Nem</v>
      </c>
      <c r="W113" t="b">
        <f t="shared" si="33"/>
        <v>0</v>
      </c>
      <c r="X113" t="b">
        <f t="shared" si="34"/>
        <v>0</v>
      </c>
      <c r="Y113" t="b">
        <f t="shared" si="35"/>
        <v>0</v>
      </c>
      <c r="Z113" t="b">
        <f t="shared" si="36"/>
        <v>0</v>
      </c>
      <c r="AA113" t="b">
        <f t="shared" si="37"/>
        <v>0</v>
      </c>
      <c r="AB113" t="str">
        <f t="shared" si="32"/>
        <v>nem</v>
      </c>
    </row>
    <row r="114" spans="1:28" x14ac:dyDescent="0.25">
      <c r="A114" t="s">
        <v>160</v>
      </c>
      <c r="B114" t="s">
        <v>37</v>
      </c>
      <c r="C114">
        <v>46.328933499999998</v>
      </c>
      <c r="D114">
        <f t="shared" si="27"/>
        <v>0.80859242851250035</v>
      </c>
      <c r="E114">
        <v>7.1096086999999999</v>
      </c>
      <c r="F114">
        <f t="shared" si="28"/>
        <v>0.12408608034343377</v>
      </c>
      <c r="G114">
        <f t="shared" si="31"/>
        <v>914.56120199593033</v>
      </c>
      <c r="H114" t="s">
        <v>27</v>
      </c>
      <c r="I114">
        <v>2120</v>
      </c>
      <c r="J114">
        <v>1224</v>
      </c>
      <c r="K114">
        <v>51</v>
      </c>
      <c r="L114">
        <v>45</v>
      </c>
      <c r="M114">
        <v>4</v>
      </c>
      <c r="N114">
        <f t="shared" si="29"/>
        <v>100</v>
      </c>
      <c r="O114">
        <v>0</v>
      </c>
      <c r="P114" t="str">
        <f t="shared" si="30"/>
        <v>Nem</v>
      </c>
      <c r="W114" t="b">
        <f t="shared" si="33"/>
        <v>0</v>
      </c>
      <c r="X114" t="b">
        <f t="shared" si="34"/>
        <v>0</v>
      </c>
      <c r="Y114" t="b">
        <f t="shared" si="35"/>
        <v>0</v>
      </c>
      <c r="Z114" t="b">
        <f t="shared" si="36"/>
        <v>0</v>
      </c>
      <c r="AA114" t="b">
        <f t="shared" si="37"/>
        <v>0</v>
      </c>
      <c r="AB114" t="str">
        <f t="shared" si="32"/>
        <v>nem</v>
      </c>
    </row>
    <row r="115" spans="1:28" x14ac:dyDescent="0.25">
      <c r="A115" t="s">
        <v>161</v>
      </c>
      <c r="B115" t="s">
        <v>37</v>
      </c>
      <c r="C115">
        <v>46.100354500000002</v>
      </c>
      <c r="D115">
        <f t="shared" si="27"/>
        <v>0.80460297236158429</v>
      </c>
      <c r="E115">
        <v>7.276506393</v>
      </c>
      <c r="F115">
        <f t="shared" si="28"/>
        <v>0.12699899460026648</v>
      </c>
      <c r="G115">
        <f t="shared" si="31"/>
        <v>907.91139493678156</v>
      </c>
      <c r="H115" t="s">
        <v>27</v>
      </c>
      <c r="I115">
        <v>3330</v>
      </c>
      <c r="J115">
        <v>821</v>
      </c>
      <c r="K115">
        <v>107</v>
      </c>
      <c r="L115">
        <v>202</v>
      </c>
      <c r="M115">
        <v>103</v>
      </c>
      <c r="N115">
        <f t="shared" si="29"/>
        <v>412</v>
      </c>
      <c r="O115">
        <v>8</v>
      </c>
      <c r="P115" t="str">
        <f t="shared" si="30"/>
        <v>Nem</v>
      </c>
      <c r="W115" t="b">
        <f t="shared" si="33"/>
        <v>0</v>
      </c>
      <c r="X115" t="b">
        <f t="shared" si="34"/>
        <v>0</v>
      </c>
      <c r="Y115" t="b">
        <f t="shared" si="35"/>
        <v>0</v>
      </c>
      <c r="Z115" t="b">
        <f t="shared" si="36"/>
        <v>0</v>
      </c>
      <c r="AA115" t="b">
        <f t="shared" si="37"/>
        <v>0</v>
      </c>
      <c r="AB115" t="str">
        <f t="shared" si="32"/>
        <v>nem</v>
      </c>
    </row>
    <row r="116" spans="1:28" x14ac:dyDescent="0.25">
      <c r="A116" t="s">
        <v>162</v>
      </c>
      <c r="B116" t="s">
        <v>37</v>
      </c>
      <c r="C116">
        <v>46.100354500000002</v>
      </c>
      <c r="D116">
        <f t="shared" si="27"/>
        <v>0.80460297236158429</v>
      </c>
      <c r="E116">
        <v>7.276506393</v>
      </c>
      <c r="F116">
        <f t="shared" si="28"/>
        <v>0.12699899460026648</v>
      </c>
      <c r="G116">
        <f t="shared" si="31"/>
        <v>907.91139493678156</v>
      </c>
      <c r="H116" t="s">
        <v>27</v>
      </c>
      <c r="I116">
        <v>3330</v>
      </c>
      <c r="J116">
        <v>821</v>
      </c>
      <c r="K116">
        <v>107</v>
      </c>
      <c r="L116">
        <v>202</v>
      </c>
      <c r="M116">
        <v>103</v>
      </c>
      <c r="N116">
        <f t="shared" si="29"/>
        <v>412</v>
      </c>
      <c r="O116">
        <v>8</v>
      </c>
      <c r="P116" t="str">
        <f t="shared" si="30"/>
        <v>Nem</v>
      </c>
      <c r="W116" t="b">
        <f t="shared" si="33"/>
        <v>0</v>
      </c>
      <c r="X116" t="b">
        <f t="shared" si="34"/>
        <v>0</v>
      </c>
      <c r="Y116" t="b">
        <f t="shared" si="35"/>
        <v>0</v>
      </c>
      <c r="Z116" t="b">
        <f t="shared" si="36"/>
        <v>0</v>
      </c>
      <c r="AA116" t="b">
        <f t="shared" si="37"/>
        <v>0</v>
      </c>
      <c r="AB116" t="str">
        <f t="shared" si="32"/>
        <v>nem</v>
      </c>
    </row>
    <row r="117" spans="1:28" x14ac:dyDescent="0.25">
      <c r="A117" t="s">
        <v>163</v>
      </c>
      <c r="B117" t="s">
        <v>31</v>
      </c>
      <c r="C117">
        <v>47.606422999999999</v>
      </c>
      <c r="D117">
        <f t="shared" si="27"/>
        <v>0.83088882644715645</v>
      </c>
      <c r="E117">
        <v>10.810675099999999</v>
      </c>
      <c r="F117">
        <f t="shared" si="28"/>
        <v>0.18868187485836721</v>
      </c>
      <c r="G117">
        <f t="shared" si="31"/>
        <v>617.43638844621444</v>
      </c>
      <c r="H117" t="s">
        <v>59</v>
      </c>
      <c r="I117">
        <v>1140</v>
      </c>
      <c r="J117">
        <v>810</v>
      </c>
      <c r="K117">
        <v>2</v>
      </c>
      <c r="L117">
        <v>4</v>
      </c>
      <c r="M117">
        <v>0</v>
      </c>
      <c r="N117">
        <f t="shared" si="29"/>
        <v>6</v>
      </c>
      <c r="O117">
        <v>0</v>
      </c>
      <c r="P117" t="str">
        <f t="shared" si="30"/>
        <v>Nem</v>
      </c>
      <c r="W117" t="b">
        <f t="shared" si="33"/>
        <v>0</v>
      </c>
      <c r="X117" t="b">
        <f t="shared" si="34"/>
        <v>0</v>
      </c>
      <c r="Y117" t="b">
        <f t="shared" si="35"/>
        <v>0</v>
      </c>
      <c r="Z117" t="b">
        <f t="shared" si="36"/>
        <v>0</v>
      </c>
      <c r="AA117" t="b">
        <f t="shared" si="37"/>
        <v>0</v>
      </c>
      <c r="AB117" t="str">
        <f t="shared" si="32"/>
        <v>nem</v>
      </c>
    </row>
    <row r="118" spans="1:28" x14ac:dyDescent="0.25">
      <c r="A118" t="s">
        <v>164</v>
      </c>
      <c r="B118" t="s">
        <v>26</v>
      </c>
      <c r="C118">
        <v>47.322506699999998</v>
      </c>
      <c r="D118">
        <f t="shared" si="27"/>
        <v>0.82593355221207643</v>
      </c>
      <c r="E118">
        <v>13.1954241</v>
      </c>
      <c r="F118">
        <f t="shared" si="28"/>
        <v>0.23030359674200951</v>
      </c>
      <c r="G118">
        <f t="shared" si="31"/>
        <v>440.15369405115439</v>
      </c>
      <c r="H118" t="s">
        <v>23</v>
      </c>
      <c r="I118">
        <v>1980</v>
      </c>
      <c r="J118">
        <v>740</v>
      </c>
      <c r="K118">
        <v>30</v>
      </c>
      <c r="L118">
        <v>81</v>
      </c>
      <c r="M118">
        <v>4</v>
      </c>
      <c r="N118">
        <f t="shared" si="29"/>
        <v>115</v>
      </c>
      <c r="O118">
        <v>0</v>
      </c>
      <c r="P118" t="str">
        <f t="shared" si="30"/>
        <v>Nem</v>
      </c>
      <c r="W118" t="b">
        <f t="shared" si="33"/>
        <v>0</v>
      </c>
      <c r="X118" t="b">
        <f t="shared" si="34"/>
        <v>0</v>
      </c>
      <c r="Y118" t="b">
        <f t="shared" si="35"/>
        <v>0</v>
      </c>
      <c r="Z118" t="b">
        <f t="shared" si="36"/>
        <v>0</v>
      </c>
      <c r="AA118" t="b">
        <f t="shared" si="37"/>
        <v>0</v>
      </c>
      <c r="AB118" t="str">
        <f t="shared" si="32"/>
        <v>nem</v>
      </c>
    </row>
    <row r="119" spans="1:28" x14ac:dyDescent="0.25">
      <c r="A119" t="s">
        <v>165</v>
      </c>
      <c r="B119" t="s">
        <v>43</v>
      </c>
      <c r="C119">
        <v>45.391390000000001</v>
      </c>
      <c r="D119">
        <f t="shared" si="27"/>
        <v>0.79222920755682891</v>
      </c>
      <c r="E119">
        <v>6.5742830000000003</v>
      </c>
      <c r="F119">
        <f t="shared" si="28"/>
        <v>0.11474288430789037</v>
      </c>
      <c r="G119">
        <f t="shared" si="31"/>
        <v>982.24773658098991</v>
      </c>
      <c r="H119" t="s">
        <v>21</v>
      </c>
      <c r="I119">
        <v>3230</v>
      </c>
      <c r="J119">
        <v>1110</v>
      </c>
      <c r="K119">
        <v>312</v>
      </c>
      <c r="L119">
        <v>216</v>
      </c>
      <c r="M119">
        <v>72</v>
      </c>
      <c r="N119">
        <f t="shared" si="29"/>
        <v>600</v>
      </c>
      <c r="O119">
        <v>0</v>
      </c>
      <c r="P119" t="str">
        <f t="shared" si="30"/>
        <v>Nem</v>
      </c>
      <c r="W119" t="b">
        <f t="shared" si="33"/>
        <v>0</v>
      </c>
      <c r="X119" t="b">
        <f t="shared" si="34"/>
        <v>0</v>
      </c>
      <c r="Y119" t="b">
        <f t="shared" si="35"/>
        <v>0</v>
      </c>
      <c r="Z119" t="b">
        <f t="shared" si="36"/>
        <v>0</v>
      </c>
      <c r="AA119" t="b">
        <f t="shared" si="37"/>
        <v>0</v>
      </c>
      <c r="AB119" t="str">
        <f t="shared" si="32"/>
        <v>nem</v>
      </c>
    </row>
    <row r="120" spans="1:28" x14ac:dyDescent="0.25">
      <c r="A120" t="s">
        <v>166</v>
      </c>
      <c r="B120" t="s">
        <v>43</v>
      </c>
      <c r="C120">
        <v>45.322108</v>
      </c>
      <c r="D120">
        <f t="shared" si="27"/>
        <v>0.79102000854446219</v>
      </c>
      <c r="E120">
        <v>6.5376969999999996</v>
      </c>
      <c r="F120">
        <f t="shared" si="28"/>
        <v>0.11410433814775571</v>
      </c>
      <c r="G120">
        <f t="shared" si="31"/>
        <v>987.39759465491511</v>
      </c>
      <c r="H120" t="s">
        <v>21</v>
      </c>
      <c r="I120">
        <v>3230</v>
      </c>
      <c r="J120">
        <v>1110</v>
      </c>
      <c r="K120">
        <v>312</v>
      </c>
      <c r="L120">
        <v>216</v>
      </c>
      <c r="M120">
        <v>72</v>
      </c>
      <c r="N120">
        <f t="shared" si="29"/>
        <v>600</v>
      </c>
      <c r="O120">
        <v>0</v>
      </c>
      <c r="P120" t="str">
        <f t="shared" si="30"/>
        <v>Nem</v>
      </c>
      <c r="W120" t="b">
        <f t="shared" si="33"/>
        <v>0</v>
      </c>
      <c r="X120" t="b">
        <f t="shared" si="34"/>
        <v>0</v>
      </c>
      <c r="Y120" t="b">
        <f t="shared" si="35"/>
        <v>0</v>
      </c>
      <c r="Z120" t="b">
        <f t="shared" si="36"/>
        <v>0</v>
      </c>
      <c r="AA120" t="b">
        <f t="shared" si="37"/>
        <v>0</v>
      </c>
      <c r="AB120" t="str">
        <f t="shared" si="32"/>
        <v>nem</v>
      </c>
    </row>
    <row r="121" spans="1:28" x14ac:dyDescent="0.25">
      <c r="A121" t="s">
        <v>167</v>
      </c>
      <c r="B121" t="s">
        <v>43</v>
      </c>
      <c r="C121">
        <v>45.254924750000001</v>
      </c>
      <c r="D121">
        <f t="shared" si="27"/>
        <v>0.78984743962977177</v>
      </c>
      <c r="E121">
        <v>6.2488657080000003</v>
      </c>
      <c r="F121">
        <f t="shared" si="28"/>
        <v>0.10906328111956658</v>
      </c>
      <c r="G121">
        <f t="shared" si="31"/>
        <v>1011.1949655349807</v>
      </c>
      <c r="H121" t="s">
        <v>27</v>
      </c>
      <c r="I121">
        <v>2620</v>
      </c>
      <c r="J121">
        <v>1100</v>
      </c>
      <c r="K121">
        <v>53</v>
      </c>
      <c r="L121">
        <v>239</v>
      </c>
      <c r="M121">
        <v>18</v>
      </c>
      <c r="N121">
        <f t="shared" si="29"/>
        <v>310</v>
      </c>
      <c r="O121">
        <v>7</v>
      </c>
      <c r="P121" t="str">
        <f t="shared" si="30"/>
        <v>Nem</v>
      </c>
      <c r="W121" t="b">
        <f t="shared" si="33"/>
        <v>0</v>
      </c>
      <c r="X121" t="b">
        <f t="shared" si="34"/>
        <v>0</v>
      </c>
      <c r="Y121" t="b">
        <f t="shared" si="35"/>
        <v>0</v>
      </c>
      <c r="Z121" t="b">
        <f t="shared" si="36"/>
        <v>0</v>
      </c>
      <c r="AA121" t="b">
        <f t="shared" si="37"/>
        <v>0</v>
      </c>
      <c r="AB121" t="str">
        <f t="shared" si="32"/>
        <v>nem</v>
      </c>
    </row>
    <row r="122" spans="1:28" x14ac:dyDescent="0.25">
      <c r="A122" t="s">
        <v>168</v>
      </c>
      <c r="B122" t="s">
        <v>43</v>
      </c>
      <c r="C122">
        <v>46.029821800000001</v>
      </c>
      <c r="D122">
        <f t="shared" si="27"/>
        <v>0.80337194451626281</v>
      </c>
      <c r="E122">
        <v>6.6956156480000004</v>
      </c>
      <c r="F122">
        <f t="shared" si="28"/>
        <v>0.11686053850565369</v>
      </c>
      <c r="G122">
        <f t="shared" si="31"/>
        <v>953.28186906744259</v>
      </c>
      <c r="H122" t="s">
        <v>27</v>
      </c>
      <c r="I122">
        <v>2476</v>
      </c>
      <c r="J122">
        <v>694</v>
      </c>
      <c r="K122">
        <v>135</v>
      </c>
      <c r="L122">
        <v>95</v>
      </c>
      <c r="M122">
        <v>35</v>
      </c>
      <c r="N122">
        <f t="shared" si="29"/>
        <v>265</v>
      </c>
      <c r="O122">
        <v>14</v>
      </c>
      <c r="P122" t="str">
        <f t="shared" si="30"/>
        <v>Nem</v>
      </c>
      <c r="W122" t="b">
        <f t="shared" si="33"/>
        <v>0</v>
      </c>
      <c r="X122" t="b">
        <f t="shared" si="34"/>
        <v>0</v>
      </c>
      <c r="Y122" t="b">
        <f t="shared" si="35"/>
        <v>0</v>
      </c>
      <c r="Z122" t="b">
        <f t="shared" si="36"/>
        <v>0</v>
      </c>
      <c r="AA122" t="b">
        <f t="shared" si="37"/>
        <v>0</v>
      </c>
      <c r="AB122" t="str">
        <f t="shared" si="32"/>
        <v>nem</v>
      </c>
    </row>
    <row r="123" spans="1:28" x14ac:dyDescent="0.25">
      <c r="A123" t="s">
        <v>169</v>
      </c>
      <c r="B123" t="s">
        <v>43</v>
      </c>
      <c r="C123">
        <v>45.845128000000003</v>
      </c>
      <c r="D123">
        <f t="shared" si="27"/>
        <v>0.80014842959824295</v>
      </c>
      <c r="E123">
        <v>6.6856661669999999</v>
      </c>
      <c r="F123">
        <f t="shared" si="28"/>
        <v>0.11668688730333907</v>
      </c>
      <c r="G123">
        <f t="shared" si="31"/>
        <v>959.30798604165307</v>
      </c>
      <c r="H123" t="s">
        <v>27</v>
      </c>
      <c r="I123">
        <v>2353</v>
      </c>
      <c r="J123">
        <v>850</v>
      </c>
      <c r="K123">
        <v>98</v>
      </c>
      <c r="L123">
        <v>134</v>
      </c>
      <c r="M123">
        <v>31</v>
      </c>
      <c r="N123">
        <f t="shared" si="29"/>
        <v>263</v>
      </c>
      <c r="O123">
        <v>5</v>
      </c>
      <c r="P123" t="str">
        <f t="shared" si="30"/>
        <v>Nem</v>
      </c>
      <c r="W123" t="b">
        <f t="shared" si="33"/>
        <v>0</v>
      </c>
      <c r="X123" t="b">
        <f t="shared" si="34"/>
        <v>0</v>
      </c>
      <c r="Y123" t="b">
        <f t="shared" si="35"/>
        <v>0</v>
      </c>
      <c r="Z123" t="b">
        <f t="shared" si="36"/>
        <v>0</v>
      </c>
      <c r="AA123" t="b">
        <f t="shared" si="37"/>
        <v>0</v>
      </c>
      <c r="AB123" t="str">
        <f t="shared" si="32"/>
        <v>nem</v>
      </c>
    </row>
    <row r="124" spans="1:28" x14ac:dyDescent="0.25">
      <c r="A124" t="s">
        <v>170</v>
      </c>
      <c r="B124" t="s">
        <v>61</v>
      </c>
      <c r="C124">
        <v>42.5768944</v>
      </c>
      <c r="D124">
        <f t="shared" si="27"/>
        <v>0.74310699255393564</v>
      </c>
      <c r="E124">
        <v>1.6682694</v>
      </c>
      <c r="F124">
        <f t="shared" si="28"/>
        <v>2.9116793840270289E-2</v>
      </c>
      <c r="G124">
        <f t="shared" si="31"/>
        <v>1466.5979611472364</v>
      </c>
      <c r="H124" t="s">
        <v>23</v>
      </c>
      <c r="I124">
        <v>2640</v>
      </c>
      <c r="J124">
        <v>1710</v>
      </c>
      <c r="K124">
        <v>100</v>
      </c>
      <c r="L124">
        <v>77</v>
      </c>
      <c r="M124">
        <v>33</v>
      </c>
      <c r="N124">
        <f t="shared" si="29"/>
        <v>210</v>
      </c>
      <c r="O124">
        <v>0</v>
      </c>
      <c r="P124" t="str">
        <f t="shared" si="30"/>
        <v>Nem</v>
      </c>
      <c r="W124" t="b">
        <f t="shared" si="33"/>
        <v>0</v>
      </c>
      <c r="X124" t="b">
        <f t="shared" si="34"/>
        <v>0</v>
      </c>
      <c r="Y124" t="b">
        <f t="shared" si="35"/>
        <v>0</v>
      </c>
      <c r="Z124" t="b">
        <f t="shared" si="36"/>
        <v>0</v>
      </c>
      <c r="AA124" t="b">
        <f t="shared" si="37"/>
        <v>0</v>
      </c>
      <c r="AB124" t="str">
        <f t="shared" si="32"/>
        <v>nem</v>
      </c>
    </row>
    <row r="125" spans="1:28" x14ac:dyDescent="0.25">
      <c r="A125" t="s">
        <v>171</v>
      </c>
      <c r="B125" t="s">
        <v>37</v>
      </c>
      <c r="C125">
        <v>46.849618</v>
      </c>
      <c r="D125">
        <f t="shared" si="27"/>
        <v>0.81768008740160081</v>
      </c>
      <c r="E125">
        <v>9.2171806610000004</v>
      </c>
      <c r="F125">
        <f t="shared" si="28"/>
        <v>0.16087015028559731</v>
      </c>
      <c r="G125">
        <f t="shared" si="31"/>
        <v>745.4889041089956</v>
      </c>
      <c r="H125" t="s">
        <v>125</v>
      </c>
      <c r="I125">
        <v>3018</v>
      </c>
      <c r="J125">
        <v>1100</v>
      </c>
      <c r="K125">
        <v>88</v>
      </c>
      <c r="L125">
        <v>81</v>
      </c>
      <c r="M125">
        <v>19</v>
      </c>
      <c r="N125">
        <f t="shared" si="29"/>
        <v>188</v>
      </c>
      <c r="O125">
        <v>14</v>
      </c>
      <c r="P125" t="str">
        <f t="shared" si="30"/>
        <v>Nem</v>
      </c>
      <c r="W125" t="b">
        <f t="shared" si="33"/>
        <v>0</v>
      </c>
      <c r="X125" t="b">
        <f t="shared" si="34"/>
        <v>0</v>
      </c>
      <c r="Y125" t="b">
        <f t="shared" si="35"/>
        <v>0</v>
      </c>
      <c r="Z125" t="b">
        <f t="shared" si="36"/>
        <v>0</v>
      </c>
      <c r="AA125" t="b">
        <f t="shared" si="37"/>
        <v>0</v>
      </c>
      <c r="AB125" t="str">
        <f t="shared" si="32"/>
        <v>nem</v>
      </c>
    </row>
    <row r="126" spans="1:28" x14ac:dyDescent="0.25">
      <c r="A126" t="s">
        <v>172</v>
      </c>
      <c r="B126" t="s">
        <v>43</v>
      </c>
      <c r="C126">
        <v>47.534320100000002</v>
      </c>
      <c r="D126">
        <f t="shared" si="27"/>
        <v>0.82963039344192024</v>
      </c>
      <c r="E126">
        <v>5.5342064999999998</v>
      </c>
      <c r="F126">
        <f t="shared" si="28"/>
        <v>9.6590124910271566E-2</v>
      </c>
      <c r="G126">
        <f t="shared" si="31"/>
        <v>1013.0192947675268</v>
      </c>
      <c r="H126" t="s">
        <v>27</v>
      </c>
      <c r="I126">
        <v>2750</v>
      </c>
      <c r="J126">
        <v>1650</v>
      </c>
      <c r="K126">
        <v>75</v>
      </c>
      <c r="L126">
        <v>90</v>
      </c>
      <c r="M126">
        <v>20</v>
      </c>
      <c r="N126">
        <f t="shared" si="29"/>
        <v>185</v>
      </c>
      <c r="O126">
        <v>0</v>
      </c>
      <c r="P126" t="str">
        <f t="shared" si="30"/>
        <v>Nem</v>
      </c>
      <c r="W126" t="b">
        <f t="shared" si="33"/>
        <v>0</v>
      </c>
      <c r="X126" t="b">
        <f t="shared" si="34"/>
        <v>0</v>
      </c>
      <c r="Y126" t="b">
        <f t="shared" si="35"/>
        <v>0</v>
      </c>
      <c r="Z126" t="b">
        <f t="shared" si="36"/>
        <v>0</v>
      </c>
      <c r="AA126" t="b">
        <f t="shared" si="37"/>
        <v>0</v>
      </c>
      <c r="AB126" t="str">
        <f t="shared" si="32"/>
        <v>nem</v>
      </c>
    </row>
    <row r="127" spans="1:28" x14ac:dyDescent="0.25">
      <c r="A127" t="s">
        <v>173</v>
      </c>
      <c r="B127" t="s">
        <v>43</v>
      </c>
      <c r="C127">
        <v>48.618833000000002</v>
      </c>
      <c r="D127">
        <f t="shared" si="27"/>
        <v>0.84855871432727226</v>
      </c>
      <c r="E127">
        <v>-2.2673293000000001</v>
      </c>
      <c r="F127">
        <f t="shared" si="28"/>
        <v>-3.957236151193827E-2</v>
      </c>
      <c r="G127">
        <f t="shared" si="31"/>
        <v>1583.2910844576916</v>
      </c>
      <c r="H127" t="s">
        <v>27</v>
      </c>
      <c r="I127">
        <v>2550</v>
      </c>
      <c r="J127">
        <v>1250</v>
      </c>
      <c r="K127">
        <v>115</v>
      </c>
      <c r="L127">
        <v>35</v>
      </c>
      <c r="M127">
        <v>15</v>
      </c>
      <c r="N127">
        <f t="shared" si="29"/>
        <v>165</v>
      </c>
      <c r="O127">
        <v>0</v>
      </c>
      <c r="P127" t="str">
        <f t="shared" si="30"/>
        <v>Nem</v>
      </c>
      <c r="W127" t="b">
        <f t="shared" si="33"/>
        <v>0</v>
      </c>
      <c r="X127" t="b">
        <f t="shared" si="34"/>
        <v>0</v>
      </c>
      <c r="Y127" t="b">
        <f t="shared" si="35"/>
        <v>0</v>
      </c>
      <c r="Z127" t="b">
        <f t="shared" si="36"/>
        <v>0</v>
      </c>
      <c r="AA127" t="b">
        <f t="shared" si="37"/>
        <v>0</v>
      </c>
      <c r="AB127" t="str">
        <f t="shared" si="32"/>
        <v>nem</v>
      </c>
    </row>
    <row r="128" spans="1:28" x14ac:dyDescent="0.25">
      <c r="A128" t="s">
        <v>174</v>
      </c>
      <c r="B128" t="s">
        <v>43</v>
      </c>
      <c r="C128">
        <v>45.160488700000002</v>
      </c>
      <c r="D128">
        <f t="shared" si="27"/>
        <v>0.78819921962469375</v>
      </c>
      <c r="E128">
        <v>6.464502618</v>
      </c>
      <c r="F128">
        <f t="shared" si="28"/>
        <v>0.11282685518789325</v>
      </c>
      <c r="G128">
        <f t="shared" si="31"/>
        <v>998.69532811079898</v>
      </c>
      <c r="H128" t="s">
        <v>27</v>
      </c>
      <c r="I128">
        <v>2594</v>
      </c>
      <c r="J128">
        <v>1430</v>
      </c>
      <c r="K128">
        <v>75</v>
      </c>
      <c r="L128">
        <v>60</v>
      </c>
      <c r="M128">
        <v>15</v>
      </c>
      <c r="N128">
        <f t="shared" si="29"/>
        <v>150</v>
      </c>
      <c r="O128">
        <v>0</v>
      </c>
      <c r="P128" t="str">
        <f t="shared" si="30"/>
        <v>Nem</v>
      </c>
      <c r="W128" t="b">
        <f t="shared" si="33"/>
        <v>0</v>
      </c>
      <c r="X128" t="b">
        <f t="shared" si="34"/>
        <v>0</v>
      </c>
      <c r="Y128" t="b">
        <f t="shared" si="35"/>
        <v>0</v>
      </c>
      <c r="Z128" t="b">
        <f t="shared" si="36"/>
        <v>0</v>
      </c>
      <c r="AA128" t="b">
        <f t="shared" si="37"/>
        <v>0</v>
      </c>
      <c r="AB128" t="str">
        <f t="shared" si="32"/>
        <v>nem</v>
      </c>
    </row>
    <row r="129" spans="1:28" x14ac:dyDescent="0.25">
      <c r="A129" t="s">
        <v>175</v>
      </c>
      <c r="B129" t="s">
        <v>26</v>
      </c>
      <c r="C129">
        <v>47.243726049999999</v>
      </c>
      <c r="D129">
        <f t="shared" si="27"/>
        <v>0.82455857048271519</v>
      </c>
      <c r="E129">
        <v>12.03918599</v>
      </c>
      <c r="F129">
        <f t="shared" si="28"/>
        <v>0.21012343478547313</v>
      </c>
      <c r="G129">
        <f t="shared" si="31"/>
        <v>527.80473302654491</v>
      </c>
      <c r="H129" t="s">
        <v>27</v>
      </c>
      <c r="I129">
        <v>2500</v>
      </c>
      <c r="J129">
        <v>580</v>
      </c>
      <c r="K129">
        <v>43</v>
      </c>
      <c r="L129">
        <v>89</v>
      </c>
      <c r="M129">
        <v>11</v>
      </c>
      <c r="N129">
        <f t="shared" si="29"/>
        <v>143</v>
      </c>
      <c r="O129">
        <v>10</v>
      </c>
      <c r="P129" t="str">
        <f t="shared" si="30"/>
        <v>Nem</v>
      </c>
      <c r="W129" t="b">
        <f t="shared" si="33"/>
        <v>0</v>
      </c>
      <c r="X129" t="b">
        <f t="shared" si="34"/>
        <v>0</v>
      </c>
      <c r="Y129" t="b">
        <f t="shared" si="35"/>
        <v>0</v>
      </c>
      <c r="Z129" t="b">
        <f t="shared" si="36"/>
        <v>0</v>
      </c>
      <c r="AA129" t="b">
        <f t="shared" si="37"/>
        <v>0</v>
      </c>
      <c r="AB129" t="str">
        <f t="shared" si="32"/>
        <v>nem</v>
      </c>
    </row>
    <row r="130" spans="1:28" x14ac:dyDescent="0.25">
      <c r="A130" t="s">
        <v>176</v>
      </c>
      <c r="B130" t="s">
        <v>140</v>
      </c>
      <c r="C130">
        <v>42.342739199999997</v>
      </c>
      <c r="D130">
        <f t="shared" si="27"/>
        <v>0.73902021335326973</v>
      </c>
      <c r="E130">
        <v>1.9562059000000001</v>
      </c>
      <c r="F130">
        <f t="shared" si="28"/>
        <v>3.414223380193894E-2</v>
      </c>
      <c r="G130">
        <f t="shared" si="31"/>
        <v>1458.2159985603048</v>
      </c>
      <c r="H130" t="s">
        <v>23</v>
      </c>
      <c r="I130">
        <v>2531</v>
      </c>
      <c r="J130">
        <v>1616</v>
      </c>
      <c r="K130">
        <v>76</v>
      </c>
      <c r="L130">
        <v>47</v>
      </c>
      <c r="M130">
        <v>18</v>
      </c>
      <c r="N130">
        <f t="shared" si="29"/>
        <v>141</v>
      </c>
      <c r="O130">
        <v>0</v>
      </c>
      <c r="P130" t="str">
        <f t="shared" si="30"/>
        <v>Nem</v>
      </c>
      <c r="W130" t="b">
        <f t="shared" si="33"/>
        <v>0</v>
      </c>
      <c r="X130" t="b">
        <f t="shared" si="34"/>
        <v>0</v>
      </c>
      <c r="Y130" t="b">
        <f t="shared" si="35"/>
        <v>0</v>
      </c>
      <c r="Z130" t="b">
        <f t="shared" si="36"/>
        <v>0</v>
      </c>
      <c r="AA130" t="b">
        <f t="shared" si="37"/>
        <v>0</v>
      </c>
      <c r="AB130" t="str">
        <f t="shared" si="32"/>
        <v>nem</v>
      </c>
    </row>
    <row r="131" spans="1:28" x14ac:dyDescent="0.25">
      <c r="A131" t="s">
        <v>177</v>
      </c>
      <c r="B131" t="s">
        <v>43</v>
      </c>
      <c r="C131">
        <v>44.226270200000002</v>
      </c>
      <c r="D131">
        <f t="shared" si="27"/>
        <v>0.77189403086665109</v>
      </c>
      <c r="E131">
        <v>6.9309839000000002</v>
      </c>
      <c r="F131">
        <f t="shared" si="28"/>
        <v>0.12096848945771742</v>
      </c>
      <c r="G131">
        <f t="shared" si="31"/>
        <v>1004.4372941301707</v>
      </c>
      <c r="H131" t="s">
        <v>27</v>
      </c>
      <c r="I131">
        <v>1600</v>
      </c>
      <c r="J131">
        <v>1150</v>
      </c>
      <c r="K131">
        <v>60</v>
      </c>
      <c r="L131">
        <v>45</v>
      </c>
      <c r="M131">
        <v>30</v>
      </c>
      <c r="N131">
        <f t="shared" si="29"/>
        <v>135</v>
      </c>
      <c r="O131">
        <v>8</v>
      </c>
      <c r="P131" t="str">
        <f t="shared" si="30"/>
        <v>Nem</v>
      </c>
      <c r="W131" t="b">
        <f t="shared" si="33"/>
        <v>0</v>
      </c>
      <c r="X131" t="b">
        <f t="shared" si="34"/>
        <v>0</v>
      </c>
      <c r="Y131" t="b">
        <f t="shared" si="35"/>
        <v>0</v>
      </c>
      <c r="Z131" t="b">
        <f t="shared" si="36"/>
        <v>0</v>
      </c>
      <c r="AA131" t="b">
        <f t="shared" si="37"/>
        <v>0</v>
      </c>
      <c r="AB131" t="str">
        <f t="shared" si="32"/>
        <v>nem</v>
      </c>
    </row>
    <row r="132" spans="1:28" x14ac:dyDescent="0.25">
      <c r="A132" t="s">
        <v>178</v>
      </c>
      <c r="B132" t="s">
        <v>40</v>
      </c>
      <c r="C132">
        <v>46.564670249999999</v>
      </c>
      <c r="D132">
        <f t="shared" ref="D132:D195" si="38">RADIANS(C132)</f>
        <v>0.81270681096795105</v>
      </c>
      <c r="E132">
        <v>11.910219319999999</v>
      </c>
      <c r="F132">
        <f t="shared" ref="F132:F195" si="39">RADIANS(E132)</f>
        <v>0.20787254176864012</v>
      </c>
      <c r="G132">
        <f t="shared" si="31"/>
        <v>550.05032337015405</v>
      </c>
      <c r="H132" t="s">
        <v>27</v>
      </c>
      <c r="I132">
        <v>2550</v>
      </c>
      <c r="J132">
        <v>1324</v>
      </c>
      <c r="K132">
        <v>70</v>
      </c>
      <c r="L132">
        <v>52</v>
      </c>
      <c r="M132">
        <v>8</v>
      </c>
      <c r="N132">
        <f t="shared" ref="N132:N195" si="40">SUM(K132,L132,M132)</f>
        <v>130</v>
      </c>
      <c r="O132">
        <v>8</v>
      </c>
      <c r="P132" t="str">
        <f t="shared" ref="P132:P195" si="41">IF(AA132, "Igen", "Nem")</f>
        <v>Nem</v>
      </c>
      <c r="W132" t="b">
        <f t="shared" si="33"/>
        <v>0</v>
      </c>
      <c r="X132" t="b">
        <f t="shared" si="34"/>
        <v>0</v>
      </c>
      <c r="Y132" t="b">
        <f t="shared" si="35"/>
        <v>0</v>
      </c>
      <c r="Z132" t="b">
        <f t="shared" si="36"/>
        <v>0</v>
      </c>
      <c r="AA132" t="b">
        <f t="shared" si="37"/>
        <v>0</v>
      </c>
      <c r="AB132" t="str">
        <f t="shared" si="32"/>
        <v>nem</v>
      </c>
    </row>
    <row r="133" spans="1:28" x14ac:dyDescent="0.25">
      <c r="A133" t="s">
        <v>179</v>
      </c>
      <c r="B133" t="s">
        <v>43</v>
      </c>
      <c r="C133">
        <v>45.883561999999998</v>
      </c>
      <c r="D133">
        <f t="shared" si="38"/>
        <v>0.80081922944295436</v>
      </c>
      <c r="E133">
        <v>6.4196911129999998</v>
      </c>
      <c r="F133">
        <f t="shared" si="39"/>
        <v>0.11204474688286935</v>
      </c>
      <c r="G133">
        <f t="shared" ref="G133:G196" si="42">ACOS(SIN(D133)*SIN($U$2)+COS(D133) * COS($U$2) * COS($V$2 - F133)) * 6371</f>
        <v>978.04425714796309</v>
      </c>
      <c r="H133" t="s">
        <v>27</v>
      </c>
      <c r="I133">
        <v>2477</v>
      </c>
      <c r="J133">
        <v>1040</v>
      </c>
      <c r="K133">
        <v>62</v>
      </c>
      <c r="L133">
        <v>40</v>
      </c>
      <c r="M133">
        <v>23</v>
      </c>
      <c r="N133">
        <f t="shared" si="40"/>
        <v>125</v>
      </c>
      <c r="O133">
        <v>0</v>
      </c>
      <c r="P133" t="str">
        <f t="shared" si="41"/>
        <v>Nem</v>
      </c>
      <c r="W133" t="b">
        <f t="shared" si="33"/>
        <v>0</v>
      </c>
      <c r="X133" t="b">
        <f t="shared" si="34"/>
        <v>0</v>
      </c>
      <c r="Y133" t="b">
        <f t="shared" si="35"/>
        <v>0</v>
      </c>
      <c r="Z133" t="b">
        <f t="shared" si="36"/>
        <v>0</v>
      </c>
      <c r="AA133" t="b">
        <f t="shared" si="37"/>
        <v>0</v>
      </c>
      <c r="AB133" t="str">
        <f t="shared" si="32"/>
        <v>nem</v>
      </c>
    </row>
    <row r="134" spans="1:28" x14ac:dyDescent="0.25">
      <c r="A134" t="s">
        <v>180</v>
      </c>
      <c r="B134" t="s">
        <v>43</v>
      </c>
      <c r="C134">
        <v>45.044531999999997</v>
      </c>
      <c r="D134">
        <f t="shared" si="38"/>
        <v>0.78617539341994636</v>
      </c>
      <c r="E134">
        <v>5.559564</v>
      </c>
      <c r="F134">
        <f t="shared" si="39"/>
        <v>9.7032696775346025E-2</v>
      </c>
      <c r="G134">
        <f t="shared" si="42"/>
        <v>1069.937817925734</v>
      </c>
      <c r="H134" t="s">
        <v>27</v>
      </c>
      <c r="I134">
        <v>2050</v>
      </c>
      <c r="J134">
        <v>1050</v>
      </c>
      <c r="K134">
        <v>50</v>
      </c>
      <c r="L134">
        <v>50</v>
      </c>
      <c r="M134">
        <v>25</v>
      </c>
      <c r="N134">
        <f t="shared" si="40"/>
        <v>125</v>
      </c>
      <c r="O134">
        <v>0</v>
      </c>
      <c r="P134" t="str">
        <f t="shared" si="41"/>
        <v>Nem</v>
      </c>
      <c r="W134" t="b">
        <f t="shared" si="33"/>
        <v>0</v>
      </c>
      <c r="X134" t="b">
        <f t="shared" si="34"/>
        <v>0</v>
      </c>
      <c r="Y134" t="b">
        <f t="shared" si="35"/>
        <v>0</v>
      </c>
      <c r="Z134" t="b">
        <f t="shared" si="36"/>
        <v>0</v>
      </c>
      <c r="AA134" t="b">
        <f t="shared" si="37"/>
        <v>0</v>
      </c>
      <c r="AB134" t="str">
        <f t="shared" si="32"/>
        <v>nem</v>
      </c>
    </row>
    <row r="135" spans="1:28" x14ac:dyDescent="0.25">
      <c r="A135" t="s">
        <v>181</v>
      </c>
      <c r="B135" t="s">
        <v>43</v>
      </c>
      <c r="C135">
        <v>45.276865800000003</v>
      </c>
      <c r="D135">
        <f t="shared" si="38"/>
        <v>0.79023038319361649</v>
      </c>
      <c r="E135">
        <v>6.8170409000000003</v>
      </c>
      <c r="F135">
        <f t="shared" si="39"/>
        <v>0.11897980894811752</v>
      </c>
      <c r="G135">
        <f t="shared" si="42"/>
        <v>968.3544569388298</v>
      </c>
      <c r="H135" t="s">
        <v>27</v>
      </c>
      <c r="I135">
        <v>2800</v>
      </c>
      <c r="J135">
        <v>1300</v>
      </c>
      <c r="K135">
        <v>73</v>
      </c>
      <c r="L135">
        <v>42</v>
      </c>
      <c r="M135">
        <v>10</v>
      </c>
      <c r="N135">
        <f t="shared" si="40"/>
        <v>125</v>
      </c>
      <c r="O135">
        <v>0</v>
      </c>
      <c r="P135" t="str">
        <f t="shared" si="41"/>
        <v>Nem</v>
      </c>
      <c r="W135" t="b">
        <f t="shared" si="33"/>
        <v>0</v>
      </c>
      <c r="X135" t="b">
        <f t="shared" si="34"/>
        <v>0</v>
      </c>
      <c r="Y135" t="b">
        <f t="shared" si="35"/>
        <v>0</v>
      </c>
      <c r="Z135" t="b">
        <f t="shared" si="36"/>
        <v>0</v>
      </c>
      <c r="AA135" t="b">
        <f t="shared" si="37"/>
        <v>0</v>
      </c>
      <c r="AB135" t="str">
        <f t="shared" si="32"/>
        <v>nem</v>
      </c>
    </row>
    <row r="136" spans="1:28" x14ac:dyDescent="0.25">
      <c r="A136" t="s">
        <v>182</v>
      </c>
      <c r="B136" t="s">
        <v>43</v>
      </c>
      <c r="C136">
        <v>44.186924599999998</v>
      </c>
      <c r="D136">
        <f t="shared" si="38"/>
        <v>0.77120732060047836</v>
      </c>
      <c r="E136">
        <v>7.145441205</v>
      </c>
      <c r="F136">
        <f t="shared" si="39"/>
        <v>0.12471147553492111</v>
      </c>
      <c r="G136">
        <f t="shared" si="42"/>
        <v>990.93808665414201</v>
      </c>
      <c r="H136" t="s">
        <v>27</v>
      </c>
      <c r="I136">
        <v>2603</v>
      </c>
      <c r="J136">
        <v>1800</v>
      </c>
      <c r="K136">
        <v>75</v>
      </c>
      <c r="L136">
        <v>35</v>
      </c>
      <c r="M136">
        <v>10</v>
      </c>
      <c r="N136">
        <f t="shared" si="40"/>
        <v>120</v>
      </c>
      <c r="O136">
        <v>8</v>
      </c>
      <c r="P136" t="str">
        <f t="shared" si="41"/>
        <v>Nem</v>
      </c>
      <c r="W136" t="b">
        <f t="shared" si="33"/>
        <v>0</v>
      </c>
      <c r="X136" t="b">
        <f t="shared" si="34"/>
        <v>0</v>
      </c>
      <c r="Y136" t="b">
        <f t="shared" si="35"/>
        <v>0</v>
      </c>
      <c r="Z136" t="b">
        <f t="shared" si="36"/>
        <v>0</v>
      </c>
      <c r="AA136" t="b">
        <f t="shared" si="37"/>
        <v>0</v>
      </c>
      <c r="AB136" t="str">
        <f t="shared" si="32"/>
        <v>nem</v>
      </c>
    </row>
    <row r="137" spans="1:28" x14ac:dyDescent="0.25">
      <c r="A137" t="s">
        <v>183</v>
      </c>
      <c r="B137" t="s">
        <v>37</v>
      </c>
      <c r="C137">
        <v>46.748761299999998</v>
      </c>
      <c r="D137">
        <f t="shared" si="38"/>
        <v>0.81591980591390456</v>
      </c>
      <c r="E137">
        <v>9.1022712000000006</v>
      </c>
      <c r="F137">
        <f t="shared" si="39"/>
        <v>0.15886460184945531</v>
      </c>
      <c r="G137">
        <f t="shared" si="42"/>
        <v>755.97450042892137</v>
      </c>
      <c r="H137" t="s">
        <v>27</v>
      </c>
      <c r="I137">
        <v>2310</v>
      </c>
      <c r="J137">
        <v>1201</v>
      </c>
      <c r="K137">
        <v>60</v>
      </c>
      <c r="L137">
        <v>40</v>
      </c>
      <c r="M137">
        <v>20</v>
      </c>
      <c r="N137">
        <f t="shared" si="40"/>
        <v>120</v>
      </c>
      <c r="O137">
        <v>15</v>
      </c>
      <c r="P137" t="str">
        <f t="shared" si="41"/>
        <v>Nem</v>
      </c>
      <c r="W137" t="b">
        <f t="shared" si="33"/>
        <v>0</v>
      </c>
      <c r="X137" t="b">
        <f t="shared" si="34"/>
        <v>0</v>
      </c>
      <c r="Y137" t="b">
        <f t="shared" si="35"/>
        <v>0</v>
      </c>
      <c r="Z137" t="b">
        <f t="shared" si="36"/>
        <v>0</v>
      </c>
      <c r="AA137" t="b">
        <f t="shared" si="37"/>
        <v>0</v>
      </c>
      <c r="AB137" t="str">
        <f t="shared" si="32"/>
        <v>nem</v>
      </c>
    </row>
    <row r="138" spans="1:28" x14ac:dyDescent="0.25">
      <c r="A138" t="s">
        <v>184</v>
      </c>
      <c r="B138" t="s">
        <v>43</v>
      </c>
      <c r="C138">
        <v>45.260217400000002</v>
      </c>
      <c r="D138">
        <f t="shared" si="38"/>
        <v>0.78993981379842737</v>
      </c>
      <c r="E138">
        <v>6.0335913769999996</v>
      </c>
      <c r="F138">
        <f t="shared" si="39"/>
        <v>0.10530603524858846</v>
      </c>
      <c r="G138">
        <f t="shared" si="42"/>
        <v>1026.9614081095012</v>
      </c>
      <c r="H138" t="s">
        <v>27</v>
      </c>
      <c r="I138">
        <v>2400</v>
      </c>
      <c r="J138">
        <v>1350</v>
      </c>
      <c r="K138">
        <v>46</v>
      </c>
      <c r="L138">
        <v>36</v>
      </c>
      <c r="M138">
        <v>38</v>
      </c>
      <c r="N138">
        <f t="shared" si="40"/>
        <v>120</v>
      </c>
      <c r="O138">
        <v>0</v>
      </c>
      <c r="P138" t="str">
        <f t="shared" si="41"/>
        <v>Nem</v>
      </c>
      <c r="W138" t="b">
        <f t="shared" si="33"/>
        <v>0</v>
      </c>
      <c r="X138" t="b">
        <f t="shared" si="34"/>
        <v>0</v>
      </c>
      <c r="Y138" t="b">
        <f t="shared" si="35"/>
        <v>0</v>
      </c>
      <c r="Z138" t="b">
        <f t="shared" si="36"/>
        <v>0</v>
      </c>
      <c r="AA138" t="b">
        <f t="shared" si="37"/>
        <v>0</v>
      </c>
      <c r="AB138" t="str">
        <f t="shared" ref="AB138:AB201" si="43">IF(AA138, "igen", "nem")</f>
        <v>nem</v>
      </c>
    </row>
    <row r="139" spans="1:28" x14ac:dyDescent="0.25">
      <c r="A139" t="s">
        <v>185</v>
      </c>
      <c r="B139" t="s">
        <v>37</v>
      </c>
      <c r="C139">
        <v>46.445051599999999</v>
      </c>
      <c r="D139">
        <f t="shared" si="38"/>
        <v>0.81061907167866043</v>
      </c>
      <c r="E139">
        <v>9.8195117609999993</v>
      </c>
      <c r="F139">
        <f t="shared" si="39"/>
        <v>0.1713828111677565</v>
      </c>
      <c r="G139">
        <f t="shared" si="42"/>
        <v>708.91071699286738</v>
      </c>
      <c r="H139" t="s">
        <v>21</v>
      </c>
      <c r="I139">
        <v>3303</v>
      </c>
      <c r="J139">
        <v>1797</v>
      </c>
      <c r="K139">
        <v>13</v>
      </c>
      <c r="L139">
        <v>89</v>
      </c>
      <c r="M139">
        <v>17</v>
      </c>
      <c r="N139">
        <f t="shared" si="40"/>
        <v>119</v>
      </c>
      <c r="O139">
        <v>9</v>
      </c>
      <c r="P139" t="str">
        <f t="shared" si="41"/>
        <v>Nem</v>
      </c>
      <c r="W139" t="b">
        <f t="shared" si="33"/>
        <v>0</v>
      </c>
      <c r="X139" t="b">
        <f t="shared" si="34"/>
        <v>0</v>
      </c>
      <c r="Y139" t="b">
        <f t="shared" si="35"/>
        <v>0</v>
      </c>
      <c r="Z139" t="b">
        <f t="shared" si="36"/>
        <v>0</v>
      </c>
      <c r="AA139" t="b">
        <f t="shared" si="37"/>
        <v>0</v>
      </c>
      <c r="AB139" t="str">
        <f t="shared" si="43"/>
        <v>nem</v>
      </c>
    </row>
    <row r="140" spans="1:28" x14ac:dyDescent="0.25">
      <c r="A140" t="s">
        <v>186</v>
      </c>
      <c r="B140" t="s">
        <v>26</v>
      </c>
      <c r="C140">
        <v>46.584656250000002</v>
      </c>
      <c r="D140">
        <f t="shared" si="38"/>
        <v>0.81305563247225476</v>
      </c>
      <c r="E140">
        <v>13.246128860000001</v>
      </c>
      <c r="F140">
        <f t="shared" si="39"/>
        <v>0.23118856175044303</v>
      </c>
      <c r="G140">
        <f t="shared" si="42"/>
        <v>450.52797202817953</v>
      </c>
      <c r="H140" t="s">
        <v>27</v>
      </c>
      <c r="I140">
        <v>2002</v>
      </c>
      <c r="J140">
        <v>600</v>
      </c>
      <c r="K140">
        <v>30</v>
      </c>
      <c r="L140">
        <v>69</v>
      </c>
      <c r="M140">
        <v>11</v>
      </c>
      <c r="N140">
        <f t="shared" si="40"/>
        <v>110</v>
      </c>
      <c r="O140">
        <v>7</v>
      </c>
      <c r="P140" t="str">
        <f t="shared" si="41"/>
        <v>Nem</v>
      </c>
      <c r="W140" t="b">
        <f t="shared" si="33"/>
        <v>0</v>
      </c>
      <c r="X140" t="b">
        <f t="shared" si="34"/>
        <v>0</v>
      </c>
      <c r="Y140" t="b">
        <f t="shared" si="35"/>
        <v>0</v>
      </c>
      <c r="Z140" t="b">
        <f t="shared" si="36"/>
        <v>0</v>
      </c>
      <c r="AA140" t="b">
        <f t="shared" si="37"/>
        <v>0</v>
      </c>
      <c r="AB140" t="str">
        <f t="shared" si="43"/>
        <v>nem</v>
      </c>
    </row>
    <row r="141" spans="1:28" x14ac:dyDescent="0.25">
      <c r="A141" t="s">
        <v>187</v>
      </c>
      <c r="B141" t="s">
        <v>40</v>
      </c>
      <c r="C141">
        <v>44.249445999999999</v>
      </c>
      <c r="D141">
        <f t="shared" si="38"/>
        <v>0.77229852488343476</v>
      </c>
      <c r="E141">
        <v>7.7750810000000001</v>
      </c>
      <c r="F141">
        <f t="shared" si="39"/>
        <v>0.13570076305925324</v>
      </c>
      <c r="G141">
        <f t="shared" si="42"/>
        <v>942.85398058176224</v>
      </c>
      <c r="I141">
        <v>807</v>
      </c>
      <c r="J141">
        <v>803</v>
      </c>
      <c r="K141">
        <v>42</v>
      </c>
      <c r="L141">
        <v>51</v>
      </c>
      <c r="M141">
        <v>11</v>
      </c>
      <c r="N141">
        <f t="shared" si="40"/>
        <v>104</v>
      </c>
      <c r="O141">
        <v>0</v>
      </c>
      <c r="P141" t="str">
        <f t="shared" si="41"/>
        <v>Nem</v>
      </c>
      <c r="W141" t="b">
        <f t="shared" si="33"/>
        <v>0</v>
      </c>
      <c r="X141" t="b">
        <f t="shared" si="34"/>
        <v>0</v>
      </c>
      <c r="Y141" t="b">
        <f t="shared" si="35"/>
        <v>0</v>
      </c>
      <c r="Z141" t="b">
        <f t="shared" si="36"/>
        <v>0</v>
      </c>
      <c r="AA141" t="b">
        <f t="shared" si="37"/>
        <v>0</v>
      </c>
      <c r="AB141" t="str">
        <f t="shared" si="43"/>
        <v>nem</v>
      </c>
    </row>
    <row r="142" spans="1:28" x14ac:dyDescent="0.25">
      <c r="A142" t="s">
        <v>188</v>
      </c>
      <c r="B142" t="s">
        <v>37</v>
      </c>
      <c r="C142">
        <v>46.389530499999999</v>
      </c>
      <c r="D142">
        <f t="shared" si="38"/>
        <v>0.8096500456793313</v>
      </c>
      <c r="E142">
        <v>8.0609271000000007</v>
      </c>
      <c r="F142">
        <f t="shared" si="39"/>
        <v>0.14068971865823821</v>
      </c>
      <c r="G142">
        <f t="shared" si="42"/>
        <v>841.82111038469873</v>
      </c>
      <c r="H142" t="s">
        <v>27</v>
      </c>
      <c r="I142">
        <v>1845</v>
      </c>
      <c r="J142">
        <v>759</v>
      </c>
      <c r="K142">
        <v>42</v>
      </c>
      <c r="L142">
        <v>50</v>
      </c>
      <c r="M142">
        <v>12</v>
      </c>
      <c r="N142">
        <f t="shared" si="40"/>
        <v>104</v>
      </c>
      <c r="O142">
        <v>4</v>
      </c>
      <c r="P142" t="str">
        <f t="shared" si="41"/>
        <v>Nem</v>
      </c>
      <c r="W142" t="b">
        <f t="shared" si="33"/>
        <v>0</v>
      </c>
      <c r="X142" t="b">
        <f t="shared" si="34"/>
        <v>0</v>
      </c>
      <c r="Y142" t="b">
        <f t="shared" si="35"/>
        <v>0</v>
      </c>
      <c r="Z142" t="b">
        <f t="shared" si="36"/>
        <v>0</v>
      </c>
      <c r="AA142" t="b">
        <f t="shared" si="37"/>
        <v>0</v>
      </c>
      <c r="AB142" t="str">
        <f t="shared" si="43"/>
        <v>nem</v>
      </c>
    </row>
    <row r="143" spans="1:28" x14ac:dyDescent="0.25">
      <c r="A143" t="s">
        <v>189</v>
      </c>
      <c r="B143" t="s">
        <v>26</v>
      </c>
      <c r="C143">
        <v>46.844221500000003</v>
      </c>
      <c r="D143">
        <f t="shared" si="38"/>
        <v>0.817585900708517</v>
      </c>
      <c r="E143">
        <v>13.7662406</v>
      </c>
      <c r="F143">
        <f t="shared" si="39"/>
        <v>0.24026622409171969</v>
      </c>
      <c r="G143">
        <f t="shared" si="42"/>
        <v>405.15792762025347</v>
      </c>
      <c r="H143" t="s">
        <v>27</v>
      </c>
      <c r="I143">
        <v>2055</v>
      </c>
      <c r="J143">
        <v>1087</v>
      </c>
      <c r="K143">
        <v>18</v>
      </c>
      <c r="L143">
        <v>77</v>
      </c>
      <c r="M143">
        <v>8</v>
      </c>
      <c r="N143">
        <f t="shared" si="40"/>
        <v>103</v>
      </c>
      <c r="O143">
        <v>7</v>
      </c>
      <c r="P143" t="str">
        <f t="shared" si="41"/>
        <v>Nem</v>
      </c>
      <c r="W143" t="b">
        <f t="shared" si="33"/>
        <v>0</v>
      </c>
      <c r="X143" t="b">
        <f t="shared" si="34"/>
        <v>0</v>
      </c>
      <c r="Y143" t="b">
        <f t="shared" si="35"/>
        <v>0</v>
      </c>
      <c r="Z143" t="b">
        <f t="shared" si="36"/>
        <v>0</v>
      </c>
      <c r="AA143" t="b">
        <f t="shared" si="37"/>
        <v>0</v>
      </c>
      <c r="AB143" t="str">
        <f t="shared" si="43"/>
        <v>nem</v>
      </c>
    </row>
    <row r="144" spans="1:28" x14ac:dyDescent="0.25">
      <c r="A144" t="s">
        <v>190</v>
      </c>
      <c r="B144" t="s">
        <v>40</v>
      </c>
      <c r="C144">
        <v>45.078339</v>
      </c>
      <c r="D144">
        <f t="shared" si="38"/>
        <v>0.78676543688016809</v>
      </c>
      <c r="E144">
        <v>6.7032049999999996</v>
      </c>
      <c r="F144">
        <f t="shared" si="39"/>
        <v>0.11699299768614649</v>
      </c>
      <c r="G144">
        <f t="shared" si="42"/>
        <v>984.19559411044543</v>
      </c>
      <c r="H144" t="s">
        <v>27</v>
      </c>
      <c r="I144">
        <v>2694</v>
      </c>
      <c r="J144">
        <v>1312</v>
      </c>
      <c r="K144">
        <v>54</v>
      </c>
      <c r="L144">
        <v>38</v>
      </c>
      <c r="M144">
        <v>8</v>
      </c>
      <c r="N144">
        <f t="shared" si="40"/>
        <v>100</v>
      </c>
      <c r="O144">
        <v>0</v>
      </c>
      <c r="P144" t="str">
        <f t="shared" si="41"/>
        <v>Nem</v>
      </c>
      <c r="W144" t="b">
        <f t="shared" si="33"/>
        <v>0</v>
      </c>
      <c r="X144" t="b">
        <f t="shared" si="34"/>
        <v>0</v>
      </c>
      <c r="Y144" t="b">
        <f t="shared" si="35"/>
        <v>0</v>
      </c>
      <c r="Z144" t="b">
        <f t="shared" si="36"/>
        <v>0</v>
      </c>
      <c r="AA144" t="b">
        <f t="shared" si="37"/>
        <v>0</v>
      </c>
      <c r="AB144" t="str">
        <f t="shared" si="43"/>
        <v>nem</v>
      </c>
    </row>
    <row r="145" spans="1:28" x14ac:dyDescent="0.25">
      <c r="A145" t="s">
        <v>191</v>
      </c>
      <c r="B145" t="s">
        <v>43</v>
      </c>
      <c r="C145">
        <v>42.816935999999998</v>
      </c>
      <c r="D145">
        <f t="shared" si="38"/>
        <v>0.74729650881569076</v>
      </c>
      <c r="E145">
        <v>0.32195380000000001</v>
      </c>
      <c r="F145">
        <f t="shared" si="39"/>
        <v>5.6191538493073198E-3</v>
      </c>
      <c r="G145">
        <f t="shared" si="42"/>
        <v>1552.6072698888622</v>
      </c>
      <c r="H145" t="s">
        <v>27</v>
      </c>
      <c r="I145">
        <v>1600</v>
      </c>
      <c r="J145">
        <v>812</v>
      </c>
      <c r="K145">
        <v>60</v>
      </c>
      <c r="L145">
        <v>30</v>
      </c>
      <c r="M145">
        <v>10</v>
      </c>
      <c r="N145">
        <f t="shared" si="40"/>
        <v>100</v>
      </c>
      <c r="O145">
        <v>3</v>
      </c>
      <c r="P145" t="str">
        <f t="shared" si="41"/>
        <v>Nem</v>
      </c>
      <c r="W145" t="b">
        <f t="shared" si="33"/>
        <v>0</v>
      </c>
      <c r="X145" t="b">
        <f t="shared" si="34"/>
        <v>0</v>
      </c>
      <c r="Y145" t="b">
        <f t="shared" si="35"/>
        <v>0</v>
      </c>
      <c r="Z145" t="b">
        <f t="shared" si="36"/>
        <v>0</v>
      </c>
      <c r="AA145" t="b">
        <f t="shared" si="37"/>
        <v>0</v>
      </c>
      <c r="AB145" t="str">
        <f t="shared" si="43"/>
        <v>nem</v>
      </c>
    </row>
    <row r="146" spans="1:28" x14ac:dyDescent="0.25">
      <c r="A146" t="s">
        <v>192</v>
      </c>
      <c r="B146" t="s">
        <v>43</v>
      </c>
      <c r="C146">
        <v>44.697206399999999</v>
      </c>
      <c r="D146">
        <f t="shared" si="38"/>
        <v>0.78011341812348156</v>
      </c>
      <c r="E146">
        <v>6.3235516000000001</v>
      </c>
      <c r="F146">
        <f t="shared" si="39"/>
        <v>0.11036679583975546</v>
      </c>
      <c r="G146">
        <f t="shared" si="42"/>
        <v>1027.4096437371386</v>
      </c>
      <c r="H146" t="s">
        <v>27</v>
      </c>
      <c r="I146">
        <v>2725</v>
      </c>
      <c r="J146">
        <v>1850</v>
      </c>
      <c r="K146">
        <v>55</v>
      </c>
      <c r="L146">
        <v>38</v>
      </c>
      <c r="M146">
        <v>7</v>
      </c>
      <c r="N146">
        <f t="shared" si="40"/>
        <v>100</v>
      </c>
      <c r="O146">
        <v>0</v>
      </c>
      <c r="P146" t="str">
        <f t="shared" si="41"/>
        <v>Nem</v>
      </c>
      <c r="W146" t="b">
        <f t="shared" si="33"/>
        <v>0</v>
      </c>
      <c r="X146" t="b">
        <f t="shared" si="34"/>
        <v>0</v>
      </c>
      <c r="Y146" t="b">
        <f t="shared" si="35"/>
        <v>0</v>
      </c>
      <c r="Z146" t="b">
        <f t="shared" si="36"/>
        <v>0</v>
      </c>
      <c r="AA146" t="b">
        <f t="shared" si="37"/>
        <v>0</v>
      </c>
      <c r="AB146" t="str">
        <f t="shared" si="43"/>
        <v>nem</v>
      </c>
    </row>
    <row r="147" spans="1:28" x14ac:dyDescent="0.25">
      <c r="A147" t="s">
        <v>193</v>
      </c>
      <c r="B147" t="s">
        <v>43</v>
      </c>
      <c r="C147">
        <v>44.684408949999998</v>
      </c>
      <c r="D147">
        <f t="shared" si="38"/>
        <v>0.77989006048512222</v>
      </c>
      <c r="E147">
        <v>5.8984841980000002</v>
      </c>
      <c r="F147">
        <f t="shared" si="39"/>
        <v>0.10294797013195713</v>
      </c>
      <c r="G147">
        <f t="shared" si="42"/>
        <v>1059.1007864106593</v>
      </c>
      <c r="H147" t="s">
        <v>27</v>
      </c>
      <c r="I147">
        <v>2450</v>
      </c>
      <c r="J147">
        <v>1450</v>
      </c>
      <c r="K147">
        <v>60</v>
      </c>
      <c r="L147">
        <v>30</v>
      </c>
      <c r="M147">
        <v>10</v>
      </c>
      <c r="N147">
        <f t="shared" si="40"/>
        <v>100</v>
      </c>
      <c r="O147">
        <v>0</v>
      </c>
      <c r="P147" t="str">
        <f t="shared" si="41"/>
        <v>Nem</v>
      </c>
      <c r="W147" t="b">
        <f t="shared" si="33"/>
        <v>0</v>
      </c>
      <c r="X147" t="b">
        <f t="shared" si="34"/>
        <v>0</v>
      </c>
      <c r="Y147" t="b">
        <f t="shared" si="35"/>
        <v>0</v>
      </c>
      <c r="Z147" t="b">
        <f t="shared" si="36"/>
        <v>0</v>
      </c>
      <c r="AA147" t="b">
        <f t="shared" si="37"/>
        <v>0</v>
      </c>
      <c r="AB147" t="str">
        <f t="shared" si="43"/>
        <v>nem</v>
      </c>
    </row>
    <row r="148" spans="1:28" x14ac:dyDescent="0.25">
      <c r="A148" t="s">
        <v>194</v>
      </c>
      <c r="B148" t="s">
        <v>43</v>
      </c>
      <c r="C148">
        <v>42.908761300000002</v>
      </c>
      <c r="D148">
        <f t="shared" si="38"/>
        <v>0.74889916263732237</v>
      </c>
      <c r="E148">
        <v>0.16741130000000001</v>
      </c>
      <c r="F148">
        <f t="shared" si="39"/>
        <v>2.9218783900439834E-3</v>
      </c>
      <c r="G148">
        <f t="shared" si="42"/>
        <v>1559.4988075362314</v>
      </c>
      <c r="H148" t="s">
        <v>23</v>
      </c>
      <c r="I148">
        <v>2500</v>
      </c>
      <c r="J148">
        <v>1250</v>
      </c>
      <c r="K148">
        <v>58</v>
      </c>
      <c r="L148">
        <v>35</v>
      </c>
      <c r="M148">
        <v>7</v>
      </c>
      <c r="N148">
        <f t="shared" si="40"/>
        <v>100</v>
      </c>
      <c r="O148">
        <v>6</v>
      </c>
      <c r="P148" t="str">
        <f t="shared" si="41"/>
        <v>Nem</v>
      </c>
      <c r="W148" t="b">
        <f t="shared" si="33"/>
        <v>0</v>
      </c>
      <c r="X148" t="b">
        <f t="shared" si="34"/>
        <v>0</v>
      </c>
      <c r="Y148" t="b">
        <f t="shared" si="35"/>
        <v>0</v>
      </c>
      <c r="Z148" t="b">
        <f t="shared" si="36"/>
        <v>0</v>
      </c>
      <c r="AA148" t="b">
        <f t="shared" si="37"/>
        <v>0</v>
      </c>
      <c r="AB148" t="str">
        <f t="shared" si="43"/>
        <v>nem</v>
      </c>
    </row>
    <row r="149" spans="1:28" x14ac:dyDescent="0.25">
      <c r="A149" t="s">
        <v>195</v>
      </c>
      <c r="B149" t="s">
        <v>37</v>
      </c>
      <c r="C149">
        <v>46.842101999999997</v>
      </c>
      <c r="D149">
        <f t="shared" si="38"/>
        <v>0.81754890845502082</v>
      </c>
      <c r="E149">
        <v>9.8353422080000001</v>
      </c>
      <c r="F149">
        <f t="shared" si="39"/>
        <v>0.17165910458996897</v>
      </c>
      <c r="G149">
        <f t="shared" si="42"/>
        <v>699.21975717950647</v>
      </c>
      <c r="H149" t="s">
        <v>23</v>
      </c>
      <c r="I149">
        <v>2844</v>
      </c>
      <c r="J149">
        <v>810</v>
      </c>
      <c r="K149">
        <v>20</v>
      </c>
      <c r="L149">
        <v>60</v>
      </c>
      <c r="M149">
        <v>16</v>
      </c>
      <c r="N149">
        <f t="shared" si="40"/>
        <v>96</v>
      </c>
      <c r="O149">
        <v>12</v>
      </c>
      <c r="P149" t="str">
        <f t="shared" si="41"/>
        <v>Nem</v>
      </c>
      <c r="W149" t="b">
        <f t="shared" si="33"/>
        <v>0</v>
      </c>
      <c r="X149" t="b">
        <f t="shared" si="34"/>
        <v>0</v>
      </c>
      <c r="Y149" t="b">
        <f t="shared" si="35"/>
        <v>0</v>
      </c>
      <c r="Z149" t="b">
        <f t="shared" si="36"/>
        <v>0</v>
      </c>
      <c r="AA149" t="b">
        <f t="shared" si="37"/>
        <v>0</v>
      </c>
      <c r="AB149" t="str">
        <f t="shared" si="43"/>
        <v>nem</v>
      </c>
    </row>
    <row r="150" spans="1:28" x14ac:dyDescent="0.25">
      <c r="A150" t="s">
        <v>196</v>
      </c>
      <c r="B150" t="s">
        <v>26</v>
      </c>
      <c r="C150">
        <v>47.423497400000002</v>
      </c>
      <c r="D150">
        <f t="shared" si="38"/>
        <v>0.82769617244097038</v>
      </c>
      <c r="E150">
        <v>12.030742800000001</v>
      </c>
      <c r="F150">
        <f t="shared" si="39"/>
        <v>0.20997607332060167</v>
      </c>
      <c r="G150">
        <f t="shared" si="42"/>
        <v>526.84886512240871</v>
      </c>
      <c r="H150" t="s">
        <v>59</v>
      </c>
      <c r="I150">
        <v>1130</v>
      </c>
      <c r="J150">
        <v>900</v>
      </c>
      <c r="K150">
        <v>1</v>
      </c>
      <c r="L150">
        <v>0</v>
      </c>
      <c r="M150">
        <v>1</v>
      </c>
      <c r="N150">
        <f t="shared" si="40"/>
        <v>2</v>
      </c>
      <c r="O150">
        <v>0</v>
      </c>
      <c r="P150" t="str">
        <f t="shared" si="41"/>
        <v>Nem</v>
      </c>
      <c r="W150" t="b">
        <f t="shared" si="33"/>
        <v>0</v>
      </c>
      <c r="X150" t="b">
        <f t="shared" si="34"/>
        <v>0</v>
      </c>
      <c r="Y150" t="b">
        <f t="shared" si="35"/>
        <v>0</v>
      </c>
      <c r="Z150" t="b">
        <f t="shared" si="36"/>
        <v>0</v>
      </c>
      <c r="AA150" t="b">
        <f t="shared" si="37"/>
        <v>0</v>
      </c>
      <c r="AB150" t="str">
        <f t="shared" si="43"/>
        <v>nem</v>
      </c>
    </row>
    <row r="151" spans="1:28" x14ac:dyDescent="0.25">
      <c r="A151" t="s">
        <v>197</v>
      </c>
      <c r="B151" t="s">
        <v>198</v>
      </c>
      <c r="C151">
        <v>63.401088799999997</v>
      </c>
      <c r="D151">
        <f t="shared" si="38"/>
        <v>1.1065577489093006</v>
      </c>
      <c r="E151">
        <v>13.082224099999999</v>
      </c>
      <c r="F151">
        <f t="shared" si="39"/>
        <v>0.2283278840287519</v>
      </c>
      <c r="G151">
        <f t="shared" si="42"/>
        <v>1805.9560346684491</v>
      </c>
      <c r="H151" t="s">
        <v>21</v>
      </c>
      <c r="I151">
        <v>1274</v>
      </c>
      <c r="J151">
        <v>380</v>
      </c>
      <c r="K151">
        <v>45</v>
      </c>
      <c r="L151">
        <v>38</v>
      </c>
      <c r="M151">
        <v>8</v>
      </c>
      <c r="N151">
        <f t="shared" si="40"/>
        <v>91</v>
      </c>
      <c r="O151">
        <v>6</v>
      </c>
      <c r="P151" t="str">
        <f t="shared" si="41"/>
        <v>Nem</v>
      </c>
      <c r="W151" t="b">
        <f t="shared" si="33"/>
        <v>0</v>
      </c>
      <c r="X151" t="b">
        <f t="shared" si="34"/>
        <v>0</v>
      </c>
      <c r="Y151" t="b">
        <f t="shared" si="35"/>
        <v>0</v>
      </c>
      <c r="Z151" t="b">
        <f t="shared" si="36"/>
        <v>0</v>
      </c>
      <c r="AA151" t="b">
        <f t="shared" si="37"/>
        <v>0</v>
      </c>
      <c r="AB151" t="str">
        <f t="shared" si="43"/>
        <v>nem</v>
      </c>
    </row>
    <row r="152" spans="1:28" x14ac:dyDescent="0.25">
      <c r="A152" t="s">
        <v>199</v>
      </c>
      <c r="B152" t="s">
        <v>40</v>
      </c>
      <c r="C152">
        <v>41.848166999999997</v>
      </c>
      <c r="D152">
        <f t="shared" si="38"/>
        <v>0.73038830007443778</v>
      </c>
      <c r="E152">
        <v>14.079594</v>
      </c>
      <c r="F152">
        <f t="shared" si="39"/>
        <v>0.24573527264403849</v>
      </c>
      <c r="G152">
        <f t="shared" si="42"/>
        <v>740.26530865387929</v>
      </c>
      <c r="H152" t="s">
        <v>27</v>
      </c>
      <c r="I152">
        <v>2141</v>
      </c>
      <c r="J152">
        <v>1309</v>
      </c>
      <c r="K152">
        <v>37</v>
      </c>
      <c r="L152">
        <v>32</v>
      </c>
      <c r="M152">
        <v>20</v>
      </c>
      <c r="N152">
        <f t="shared" si="40"/>
        <v>89</v>
      </c>
      <c r="O152">
        <v>0</v>
      </c>
      <c r="P152" t="str">
        <f t="shared" si="41"/>
        <v>Nem</v>
      </c>
      <c r="W152" t="b">
        <f t="shared" si="33"/>
        <v>0</v>
      </c>
      <c r="X152" t="b">
        <f t="shared" si="34"/>
        <v>0</v>
      </c>
      <c r="Y152" t="b">
        <f t="shared" si="35"/>
        <v>0</v>
      </c>
      <c r="Z152" t="b">
        <f t="shared" si="36"/>
        <v>0</v>
      </c>
      <c r="AA152" t="b">
        <f t="shared" si="37"/>
        <v>0</v>
      </c>
      <c r="AB152" t="str">
        <f t="shared" si="43"/>
        <v>nem</v>
      </c>
    </row>
    <row r="153" spans="1:28" x14ac:dyDescent="0.25">
      <c r="A153" t="s">
        <v>200</v>
      </c>
      <c r="B153" t="s">
        <v>43</v>
      </c>
      <c r="C153">
        <v>45.117148700000001</v>
      </c>
      <c r="D153">
        <f t="shared" si="38"/>
        <v>0.78744279392687944</v>
      </c>
      <c r="E153">
        <v>5.893161879</v>
      </c>
      <c r="F153">
        <f t="shared" si="39"/>
        <v>0.10285507814156568</v>
      </c>
      <c r="G153">
        <f t="shared" si="42"/>
        <v>1042.5517688691834</v>
      </c>
      <c r="H153" t="s">
        <v>27</v>
      </c>
      <c r="I153">
        <v>2250</v>
      </c>
      <c r="J153">
        <v>1400</v>
      </c>
      <c r="K153">
        <v>45</v>
      </c>
      <c r="L153">
        <v>35</v>
      </c>
      <c r="M153">
        <v>10</v>
      </c>
      <c r="N153">
        <f t="shared" si="40"/>
        <v>90</v>
      </c>
      <c r="O153">
        <v>0</v>
      </c>
      <c r="P153" t="str">
        <f t="shared" si="41"/>
        <v>Nem</v>
      </c>
      <c r="W153" t="b">
        <f t="shared" si="33"/>
        <v>0</v>
      </c>
      <c r="X153" t="b">
        <f t="shared" si="34"/>
        <v>0</v>
      </c>
      <c r="Y153" t="b">
        <f t="shared" si="35"/>
        <v>0</v>
      </c>
      <c r="Z153" t="b">
        <f t="shared" si="36"/>
        <v>0</v>
      </c>
      <c r="AA153" t="b">
        <f t="shared" si="37"/>
        <v>0</v>
      </c>
      <c r="AB153" t="str">
        <f t="shared" si="43"/>
        <v>nem</v>
      </c>
    </row>
    <row r="154" spans="1:28" x14ac:dyDescent="0.25">
      <c r="A154" t="s">
        <v>201</v>
      </c>
      <c r="B154" t="s">
        <v>43</v>
      </c>
      <c r="C154">
        <v>44.095622800000001</v>
      </c>
      <c r="D154">
        <f t="shared" si="38"/>
        <v>0.7696138035774811</v>
      </c>
      <c r="E154">
        <v>6.9301383999999997</v>
      </c>
      <c r="F154">
        <f t="shared" si="39"/>
        <v>0.12095373269889179</v>
      </c>
      <c r="G154">
        <f t="shared" si="42"/>
        <v>1010.832957385735</v>
      </c>
      <c r="H154" t="s">
        <v>27</v>
      </c>
      <c r="I154">
        <v>2020</v>
      </c>
      <c r="J154">
        <v>1412</v>
      </c>
      <c r="K154">
        <v>45</v>
      </c>
      <c r="L154">
        <v>35</v>
      </c>
      <c r="M154">
        <v>10</v>
      </c>
      <c r="N154">
        <f t="shared" si="40"/>
        <v>90</v>
      </c>
      <c r="O154">
        <v>0</v>
      </c>
      <c r="P154" t="str">
        <f t="shared" si="41"/>
        <v>Nem</v>
      </c>
      <c r="W154" t="b">
        <f t="shared" si="33"/>
        <v>0</v>
      </c>
      <c r="X154" t="b">
        <f t="shared" si="34"/>
        <v>0</v>
      </c>
      <c r="Y154" t="b">
        <f t="shared" si="35"/>
        <v>0</v>
      </c>
      <c r="Z154" t="b">
        <f t="shared" si="36"/>
        <v>0</v>
      </c>
      <c r="AA154" t="b">
        <f t="shared" si="37"/>
        <v>0</v>
      </c>
      <c r="AB154" t="str">
        <f t="shared" si="43"/>
        <v>nem</v>
      </c>
    </row>
    <row r="155" spans="1:28" x14ac:dyDescent="0.25">
      <c r="A155" t="s">
        <v>202</v>
      </c>
      <c r="B155" t="s">
        <v>37</v>
      </c>
      <c r="C155">
        <v>46.492721299999999</v>
      </c>
      <c r="D155">
        <f t="shared" si="38"/>
        <v>0.81145106489709828</v>
      </c>
      <c r="E155">
        <v>7.5587618000000001</v>
      </c>
      <c r="F155">
        <f t="shared" si="39"/>
        <v>0.13192528078397311</v>
      </c>
      <c r="G155">
        <f t="shared" si="42"/>
        <v>877.092004591766</v>
      </c>
      <c r="H155" t="s">
        <v>27</v>
      </c>
      <c r="I155">
        <v>1260</v>
      </c>
      <c r="J155">
        <v>1072</v>
      </c>
      <c r="K155">
        <v>44</v>
      </c>
      <c r="L155">
        <v>38</v>
      </c>
      <c r="M155">
        <v>6</v>
      </c>
      <c r="N155">
        <f t="shared" si="40"/>
        <v>88</v>
      </c>
      <c r="O155">
        <v>6</v>
      </c>
      <c r="P155" t="str">
        <f t="shared" si="41"/>
        <v>Nem</v>
      </c>
      <c r="W155" t="b">
        <f t="shared" si="33"/>
        <v>0</v>
      </c>
      <c r="X155" t="b">
        <f t="shared" si="34"/>
        <v>0</v>
      </c>
      <c r="Y155" t="b">
        <f t="shared" si="35"/>
        <v>0</v>
      </c>
      <c r="Z155" t="b">
        <f t="shared" si="36"/>
        <v>0</v>
      </c>
      <c r="AA155" t="b">
        <f t="shared" si="37"/>
        <v>0</v>
      </c>
      <c r="AB155" t="str">
        <f t="shared" si="43"/>
        <v>nem</v>
      </c>
    </row>
    <row r="156" spans="1:28" x14ac:dyDescent="0.25">
      <c r="A156" t="s">
        <v>203</v>
      </c>
      <c r="B156" t="s">
        <v>37</v>
      </c>
      <c r="C156">
        <v>46.946374800000001</v>
      </c>
      <c r="D156">
        <f t="shared" si="38"/>
        <v>0.81936881213529444</v>
      </c>
      <c r="E156">
        <v>8.0499977000000005</v>
      </c>
      <c r="F156">
        <f t="shared" si="39"/>
        <v>0.14049896464297074</v>
      </c>
      <c r="G156">
        <f t="shared" si="42"/>
        <v>831.53431298803014</v>
      </c>
      <c r="H156" t="s">
        <v>27</v>
      </c>
      <c r="I156">
        <v>2011</v>
      </c>
      <c r="J156">
        <v>948</v>
      </c>
      <c r="K156">
        <v>62</v>
      </c>
      <c r="L156">
        <v>21</v>
      </c>
      <c r="M156">
        <v>4</v>
      </c>
      <c r="N156">
        <f t="shared" si="40"/>
        <v>87</v>
      </c>
      <c r="O156">
        <v>0</v>
      </c>
      <c r="P156" t="str">
        <f t="shared" si="41"/>
        <v>Nem</v>
      </c>
      <c r="W156" t="b">
        <f t="shared" si="33"/>
        <v>0</v>
      </c>
      <c r="X156" t="b">
        <f t="shared" si="34"/>
        <v>0</v>
      </c>
      <c r="Y156" t="b">
        <f t="shared" si="35"/>
        <v>0</v>
      </c>
      <c r="Z156" t="b">
        <f t="shared" si="36"/>
        <v>0</v>
      </c>
      <c r="AA156" t="b">
        <f t="shared" si="37"/>
        <v>0</v>
      </c>
      <c r="AB156" t="str">
        <f t="shared" si="43"/>
        <v>nem</v>
      </c>
    </row>
    <row r="157" spans="1:28" x14ac:dyDescent="0.25">
      <c r="A157" t="s">
        <v>204</v>
      </c>
      <c r="B157" t="s">
        <v>26</v>
      </c>
      <c r="C157">
        <v>47.111086200000003</v>
      </c>
      <c r="D157">
        <f t="shared" si="38"/>
        <v>0.82224356838086388</v>
      </c>
      <c r="E157">
        <v>13.156233569999999</v>
      </c>
      <c r="F157">
        <f t="shared" si="39"/>
        <v>0.22961959295790788</v>
      </c>
      <c r="G157">
        <f t="shared" si="42"/>
        <v>445.63412570074104</v>
      </c>
      <c r="H157" t="s">
        <v>59</v>
      </c>
      <c r="I157">
        <v>2007</v>
      </c>
      <c r="J157">
        <v>1079</v>
      </c>
      <c r="K157">
        <v>3</v>
      </c>
      <c r="L157">
        <v>6</v>
      </c>
      <c r="M157">
        <v>2</v>
      </c>
      <c r="N157">
        <f t="shared" si="40"/>
        <v>11</v>
      </c>
      <c r="O157">
        <v>0</v>
      </c>
      <c r="P157" t="str">
        <f t="shared" si="41"/>
        <v>Nem</v>
      </c>
      <c r="W157" t="b">
        <f t="shared" si="33"/>
        <v>0</v>
      </c>
      <c r="X157" t="b">
        <f t="shared" si="34"/>
        <v>0</v>
      </c>
      <c r="Y157" t="b">
        <f t="shared" si="35"/>
        <v>0</v>
      </c>
      <c r="Z157" t="b">
        <f t="shared" si="36"/>
        <v>0</v>
      </c>
      <c r="AA157" t="b">
        <f t="shared" si="37"/>
        <v>0</v>
      </c>
      <c r="AB157" t="str">
        <f t="shared" si="43"/>
        <v>nem</v>
      </c>
    </row>
    <row r="158" spans="1:28" x14ac:dyDescent="0.25">
      <c r="A158" t="s">
        <v>205</v>
      </c>
      <c r="B158" t="s">
        <v>43</v>
      </c>
      <c r="C158">
        <v>44.868927999999997</v>
      </c>
      <c r="D158">
        <f t="shared" si="38"/>
        <v>0.78311052544027426</v>
      </c>
      <c r="E158">
        <v>5.5947924819999999</v>
      </c>
      <c r="F158">
        <f t="shared" si="39"/>
        <v>9.7647549776725587E-2</v>
      </c>
      <c r="G158">
        <f t="shared" si="42"/>
        <v>1074.0333644656198</v>
      </c>
      <c r="H158" t="s">
        <v>27</v>
      </c>
      <c r="I158">
        <v>1835</v>
      </c>
      <c r="J158">
        <v>1113</v>
      </c>
      <c r="K158">
        <v>28</v>
      </c>
      <c r="L158">
        <v>50</v>
      </c>
      <c r="M158">
        <v>7</v>
      </c>
      <c r="N158">
        <f t="shared" si="40"/>
        <v>85</v>
      </c>
      <c r="O158">
        <v>0</v>
      </c>
      <c r="P158" t="str">
        <f t="shared" si="41"/>
        <v>Nem</v>
      </c>
      <c r="W158" t="b">
        <f t="shared" si="33"/>
        <v>0</v>
      </c>
      <c r="X158" t="b">
        <f t="shared" si="34"/>
        <v>0</v>
      </c>
      <c r="Y158" t="b">
        <f t="shared" si="35"/>
        <v>0</v>
      </c>
      <c r="Z158" t="b">
        <f t="shared" si="36"/>
        <v>0</v>
      </c>
      <c r="AA158" t="b">
        <f t="shared" si="37"/>
        <v>0</v>
      </c>
      <c r="AB158" t="str">
        <f t="shared" si="43"/>
        <v>nem</v>
      </c>
    </row>
    <row r="159" spans="1:28" x14ac:dyDescent="0.25">
      <c r="A159" t="s">
        <v>206</v>
      </c>
      <c r="B159" t="s">
        <v>43</v>
      </c>
      <c r="C159">
        <v>45.941867500000001</v>
      </c>
      <c r="D159">
        <f t="shared" si="38"/>
        <v>0.80183685238997604</v>
      </c>
      <c r="E159">
        <v>6.4271456999999996</v>
      </c>
      <c r="F159">
        <f t="shared" si="39"/>
        <v>0.11217485397039571</v>
      </c>
      <c r="G159">
        <f t="shared" si="42"/>
        <v>975.81542652857775</v>
      </c>
      <c r="H159" t="s">
        <v>27</v>
      </c>
      <c r="I159">
        <v>2100</v>
      </c>
      <c r="J159">
        <v>1000</v>
      </c>
      <c r="K159">
        <v>49</v>
      </c>
      <c r="L159">
        <v>27</v>
      </c>
      <c r="M159">
        <v>8</v>
      </c>
      <c r="N159">
        <f t="shared" si="40"/>
        <v>84</v>
      </c>
      <c r="O159">
        <v>0</v>
      </c>
      <c r="P159" t="str">
        <f t="shared" si="41"/>
        <v>Nem</v>
      </c>
      <c r="W159" t="b">
        <f t="shared" si="33"/>
        <v>0</v>
      </c>
      <c r="X159" t="b">
        <f t="shared" si="34"/>
        <v>0</v>
      </c>
      <c r="Y159" t="b">
        <f t="shared" si="35"/>
        <v>0</v>
      </c>
      <c r="Z159" t="b">
        <f t="shared" si="36"/>
        <v>0</v>
      </c>
      <c r="AA159" t="b">
        <f t="shared" si="37"/>
        <v>0</v>
      </c>
      <c r="AB159" t="str">
        <f t="shared" si="43"/>
        <v>nem</v>
      </c>
    </row>
    <row r="160" spans="1:28" x14ac:dyDescent="0.25">
      <c r="A160" t="s">
        <v>207</v>
      </c>
      <c r="B160" t="s">
        <v>26</v>
      </c>
      <c r="C160">
        <v>47.277054049999997</v>
      </c>
      <c r="D160">
        <f t="shared" si="38"/>
        <v>0.82514025381581979</v>
      </c>
      <c r="E160">
        <v>11.848679499999999</v>
      </c>
      <c r="F160">
        <f t="shared" si="39"/>
        <v>0.20679846928855544</v>
      </c>
      <c r="G160">
        <f t="shared" si="42"/>
        <v>541.76510306456657</v>
      </c>
      <c r="H160" t="s">
        <v>23</v>
      </c>
      <c r="I160">
        <v>2378</v>
      </c>
      <c r="J160">
        <v>600</v>
      </c>
      <c r="K160">
        <v>28</v>
      </c>
      <c r="L160">
        <v>41</v>
      </c>
      <c r="M160">
        <v>13</v>
      </c>
      <c r="N160">
        <f t="shared" si="40"/>
        <v>82</v>
      </c>
      <c r="O160">
        <v>11</v>
      </c>
      <c r="P160" t="str">
        <f t="shared" si="41"/>
        <v>Nem</v>
      </c>
      <c r="W160" t="b">
        <f t="shared" si="33"/>
        <v>0</v>
      </c>
      <c r="X160" t="b">
        <f t="shared" si="34"/>
        <v>0</v>
      </c>
      <c r="Y160" t="b">
        <f t="shared" si="35"/>
        <v>0</v>
      </c>
      <c r="Z160" t="b">
        <f t="shared" si="36"/>
        <v>0</v>
      </c>
      <c r="AA160" t="b">
        <f t="shared" si="37"/>
        <v>0</v>
      </c>
      <c r="AB160" t="str">
        <f t="shared" si="43"/>
        <v>nem</v>
      </c>
    </row>
    <row r="161" spans="1:28" x14ac:dyDescent="0.25">
      <c r="A161" t="s">
        <v>208</v>
      </c>
      <c r="B161" t="s">
        <v>37</v>
      </c>
      <c r="C161">
        <v>46.177663099999997</v>
      </c>
      <c r="D161">
        <f t="shared" si="38"/>
        <v>0.80595226197169145</v>
      </c>
      <c r="E161">
        <v>7.5744977999999996</v>
      </c>
      <c r="F161">
        <f t="shared" si="39"/>
        <v>0.13219992579506695</v>
      </c>
      <c r="G161">
        <f t="shared" si="42"/>
        <v>883.55849726015992</v>
      </c>
      <c r="H161" t="s">
        <v>27</v>
      </c>
      <c r="I161">
        <v>2900</v>
      </c>
      <c r="J161">
        <v>1570</v>
      </c>
      <c r="K161">
        <v>26</v>
      </c>
      <c r="L161">
        <v>28</v>
      </c>
      <c r="M161">
        <v>26</v>
      </c>
      <c r="N161">
        <f t="shared" si="40"/>
        <v>80</v>
      </c>
      <c r="O161">
        <v>0</v>
      </c>
      <c r="P161" t="str">
        <f t="shared" si="41"/>
        <v>Nem</v>
      </c>
      <c r="W161" t="b">
        <f t="shared" ref="W161:W224" si="44">IFERROR(SEARCH("Jún",H161), FALSE)</f>
        <v>0</v>
      </c>
      <c r="X161" t="b">
        <f t="shared" ref="X161:X224" si="45">IFERROR(SEARCH("Júl",H161), FALSE)</f>
        <v>0</v>
      </c>
      <c r="Y161" t="b">
        <f t="shared" ref="Y161:Y224" si="46">IFERROR(SEARCH("Aug",H161), FALSE)</f>
        <v>0</v>
      </c>
      <c r="Z161" t="b">
        <f t="shared" ref="Z161:Z224" si="47">IFERROR(SEARCH("Egész évben",H161), FALSE)</f>
        <v>0</v>
      </c>
      <c r="AA161" t="b">
        <f t="shared" ref="AA161:AA224" si="48">OR(W161,X161,Y161,Z161)</f>
        <v>0</v>
      </c>
      <c r="AB161" t="str">
        <f t="shared" si="43"/>
        <v>nem</v>
      </c>
    </row>
    <row r="162" spans="1:28" x14ac:dyDescent="0.25">
      <c r="A162" t="s">
        <v>209</v>
      </c>
      <c r="B162" t="s">
        <v>40</v>
      </c>
      <c r="C162">
        <v>46.358117</v>
      </c>
      <c r="D162">
        <f t="shared" si="38"/>
        <v>0.80910177667475613</v>
      </c>
      <c r="E162">
        <v>12.05748586</v>
      </c>
      <c r="F162">
        <f t="shared" si="39"/>
        <v>0.21044282776966006</v>
      </c>
      <c r="G162">
        <f t="shared" si="42"/>
        <v>544.97630697868271</v>
      </c>
      <c r="H162" t="s">
        <v>27</v>
      </c>
      <c r="I162">
        <v>2100</v>
      </c>
      <c r="J162">
        <v>1000</v>
      </c>
      <c r="K162">
        <v>30</v>
      </c>
      <c r="L162">
        <v>44</v>
      </c>
      <c r="M162">
        <v>6</v>
      </c>
      <c r="N162">
        <f t="shared" si="40"/>
        <v>80</v>
      </c>
      <c r="O162">
        <v>0</v>
      </c>
      <c r="P162" t="str">
        <f t="shared" si="41"/>
        <v>Nem</v>
      </c>
      <c r="W162" t="b">
        <f t="shared" si="44"/>
        <v>0</v>
      </c>
      <c r="X162" t="b">
        <f t="shared" si="45"/>
        <v>0</v>
      </c>
      <c r="Y162" t="b">
        <f t="shared" si="46"/>
        <v>0</v>
      </c>
      <c r="Z162" t="b">
        <f t="shared" si="47"/>
        <v>0</v>
      </c>
      <c r="AA162" t="b">
        <f t="shared" si="48"/>
        <v>0</v>
      </c>
      <c r="AB162" t="str">
        <f t="shared" si="43"/>
        <v>nem</v>
      </c>
    </row>
    <row r="163" spans="1:28" x14ac:dyDescent="0.25">
      <c r="A163" t="s">
        <v>210</v>
      </c>
      <c r="B163" t="s">
        <v>43</v>
      </c>
      <c r="C163">
        <v>42.719359699999998</v>
      </c>
      <c r="D163">
        <f t="shared" si="38"/>
        <v>0.74559348110877699</v>
      </c>
      <c r="E163">
        <v>1.8379764999999999</v>
      </c>
      <c r="F163">
        <f t="shared" si="39"/>
        <v>3.2078741499281554E-2</v>
      </c>
      <c r="G163">
        <f t="shared" si="42"/>
        <v>1446.9506583096222</v>
      </c>
      <c r="H163" t="s">
        <v>27</v>
      </c>
      <c r="I163">
        <v>1400</v>
      </c>
      <c r="J163">
        <v>720</v>
      </c>
      <c r="K163">
        <v>40</v>
      </c>
      <c r="L163">
        <v>25</v>
      </c>
      <c r="M163">
        <v>15</v>
      </c>
      <c r="N163">
        <f t="shared" si="40"/>
        <v>80</v>
      </c>
      <c r="O163">
        <v>0</v>
      </c>
      <c r="P163" t="str">
        <f t="shared" si="41"/>
        <v>Nem</v>
      </c>
      <c r="W163" t="b">
        <f t="shared" si="44"/>
        <v>0</v>
      </c>
      <c r="X163" t="b">
        <f t="shared" si="45"/>
        <v>0</v>
      </c>
      <c r="Y163" t="b">
        <f t="shared" si="46"/>
        <v>0</v>
      </c>
      <c r="Z163" t="b">
        <f t="shared" si="47"/>
        <v>0</v>
      </c>
      <c r="AA163" t="b">
        <f t="shared" si="48"/>
        <v>0</v>
      </c>
      <c r="AB163" t="str">
        <f t="shared" si="43"/>
        <v>nem</v>
      </c>
    </row>
    <row r="164" spans="1:28" x14ac:dyDescent="0.25">
      <c r="A164" t="s">
        <v>211</v>
      </c>
      <c r="B164" t="s">
        <v>26</v>
      </c>
      <c r="C164">
        <v>47.314039000000001</v>
      </c>
      <c r="D164">
        <f t="shared" si="38"/>
        <v>0.82578576296700534</v>
      </c>
      <c r="E164">
        <v>9.8942010830000005</v>
      </c>
      <c r="F164">
        <f t="shared" si="39"/>
        <v>0.17268638575273876</v>
      </c>
      <c r="G164">
        <f t="shared" si="42"/>
        <v>688.20582547924982</v>
      </c>
      <c r="H164" t="s">
        <v>27</v>
      </c>
      <c r="I164">
        <v>2050</v>
      </c>
      <c r="J164">
        <v>690</v>
      </c>
      <c r="K164">
        <v>37</v>
      </c>
      <c r="L164">
        <v>39</v>
      </c>
      <c r="M164">
        <v>1</v>
      </c>
      <c r="N164">
        <f t="shared" si="40"/>
        <v>77</v>
      </c>
      <c r="O164">
        <v>7</v>
      </c>
      <c r="P164" t="str">
        <f t="shared" si="41"/>
        <v>Nem</v>
      </c>
      <c r="W164" t="b">
        <f t="shared" si="44"/>
        <v>0</v>
      </c>
      <c r="X164" t="b">
        <f t="shared" si="45"/>
        <v>0</v>
      </c>
      <c r="Y164" t="b">
        <f t="shared" si="46"/>
        <v>0</v>
      </c>
      <c r="Z164" t="b">
        <f t="shared" si="47"/>
        <v>0</v>
      </c>
      <c r="AA164" t="b">
        <f t="shared" si="48"/>
        <v>0</v>
      </c>
      <c r="AB164" t="str">
        <f t="shared" si="43"/>
        <v>nem</v>
      </c>
    </row>
    <row r="165" spans="1:28" x14ac:dyDescent="0.25">
      <c r="A165" t="s">
        <v>212</v>
      </c>
      <c r="B165" t="s">
        <v>26</v>
      </c>
      <c r="C165">
        <v>47.323963599999999</v>
      </c>
      <c r="D165">
        <f t="shared" si="38"/>
        <v>0.82595897991394873</v>
      </c>
      <c r="E165">
        <v>12.7963165</v>
      </c>
      <c r="F165">
        <f t="shared" si="39"/>
        <v>0.22333785505227696</v>
      </c>
      <c r="G165">
        <f t="shared" si="42"/>
        <v>470.12328060877297</v>
      </c>
      <c r="H165" t="s">
        <v>27</v>
      </c>
      <c r="I165">
        <v>2000</v>
      </c>
      <c r="J165">
        <v>760</v>
      </c>
      <c r="K165">
        <v>30</v>
      </c>
      <c r="L165">
        <v>28</v>
      </c>
      <c r="M165">
        <v>19</v>
      </c>
      <c r="N165">
        <f t="shared" si="40"/>
        <v>77</v>
      </c>
      <c r="O165">
        <v>6</v>
      </c>
      <c r="P165" t="str">
        <f t="shared" si="41"/>
        <v>Nem</v>
      </c>
      <c r="W165" t="b">
        <f t="shared" si="44"/>
        <v>0</v>
      </c>
      <c r="X165" t="b">
        <f t="shared" si="45"/>
        <v>0</v>
      </c>
      <c r="Y165" t="b">
        <f t="shared" si="46"/>
        <v>0</v>
      </c>
      <c r="Z165" t="b">
        <f t="shared" si="47"/>
        <v>0</v>
      </c>
      <c r="AA165" t="b">
        <f t="shared" si="48"/>
        <v>0</v>
      </c>
      <c r="AB165" t="str">
        <f t="shared" si="43"/>
        <v>nem</v>
      </c>
    </row>
    <row r="166" spans="1:28" x14ac:dyDescent="0.25">
      <c r="A166" t="s">
        <v>213</v>
      </c>
      <c r="B166" t="s">
        <v>140</v>
      </c>
      <c r="C166">
        <v>42.592740399999997</v>
      </c>
      <c r="D166">
        <f t="shared" si="38"/>
        <v>0.74338355742720652</v>
      </c>
      <c r="E166">
        <v>0.53842210000000001</v>
      </c>
      <c r="F166">
        <f t="shared" si="39"/>
        <v>9.3972384105021605E-3</v>
      </c>
      <c r="G166">
        <f t="shared" si="42"/>
        <v>1547.9033981337225</v>
      </c>
      <c r="H166" t="s">
        <v>27</v>
      </c>
      <c r="I166">
        <v>2621</v>
      </c>
      <c r="J166">
        <v>1505</v>
      </c>
      <c r="K166">
        <v>35</v>
      </c>
      <c r="L166">
        <v>27</v>
      </c>
      <c r="M166">
        <v>14</v>
      </c>
      <c r="N166">
        <f t="shared" si="40"/>
        <v>76</v>
      </c>
      <c r="O166">
        <v>0</v>
      </c>
      <c r="P166" t="str">
        <f t="shared" si="41"/>
        <v>Nem</v>
      </c>
      <c r="W166" t="b">
        <f t="shared" si="44"/>
        <v>0</v>
      </c>
      <c r="X166" t="b">
        <f t="shared" si="45"/>
        <v>0</v>
      </c>
      <c r="Y166" t="b">
        <f t="shared" si="46"/>
        <v>0</v>
      </c>
      <c r="Z166" t="b">
        <f t="shared" si="47"/>
        <v>0</v>
      </c>
      <c r="AA166" t="b">
        <f t="shared" si="48"/>
        <v>0</v>
      </c>
      <c r="AB166" t="str">
        <f t="shared" si="43"/>
        <v>nem</v>
      </c>
    </row>
    <row r="167" spans="1:28" x14ac:dyDescent="0.25">
      <c r="A167" t="s">
        <v>214</v>
      </c>
      <c r="B167" t="s">
        <v>40</v>
      </c>
      <c r="C167">
        <v>46.731048000000001</v>
      </c>
      <c r="D167">
        <f t="shared" si="38"/>
        <v>0.81561065050751114</v>
      </c>
      <c r="E167">
        <v>12.327947</v>
      </c>
      <c r="F167">
        <f t="shared" si="39"/>
        <v>0.21516326516135739</v>
      </c>
      <c r="G167">
        <f t="shared" si="42"/>
        <v>514.87044243891785</v>
      </c>
      <c r="H167" t="s">
        <v>23</v>
      </c>
      <c r="I167">
        <v>2200</v>
      </c>
      <c r="J167">
        <v>1130</v>
      </c>
      <c r="K167">
        <v>17</v>
      </c>
      <c r="L167">
        <v>39</v>
      </c>
      <c r="M167">
        <v>18</v>
      </c>
      <c r="N167">
        <f t="shared" si="40"/>
        <v>74</v>
      </c>
      <c r="O167">
        <v>4</v>
      </c>
      <c r="P167" t="str">
        <f t="shared" si="41"/>
        <v>Nem</v>
      </c>
      <c r="W167" t="b">
        <f t="shared" si="44"/>
        <v>0</v>
      </c>
      <c r="X167" t="b">
        <f t="shared" si="45"/>
        <v>0</v>
      </c>
      <c r="Y167" t="b">
        <f t="shared" si="46"/>
        <v>0</v>
      </c>
      <c r="Z167" t="b">
        <f t="shared" si="47"/>
        <v>0</v>
      </c>
      <c r="AA167" t="b">
        <f t="shared" si="48"/>
        <v>0</v>
      </c>
      <c r="AB167" t="str">
        <f t="shared" si="43"/>
        <v>nem</v>
      </c>
    </row>
    <row r="168" spans="1:28" x14ac:dyDescent="0.25">
      <c r="A168" t="s">
        <v>215</v>
      </c>
      <c r="B168" t="s">
        <v>43</v>
      </c>
      <c r="C168">
        <v>44.827954300000002</v>
      </c>
      <c r="D168">
        <f t="shared" si="38"/>
        <v>0.78239539946854997</v>
      </c>
      <c r="E168">
        <v>6.4926272999999997</v>
      </c>
      <c r="F168">
        <f t="shared" si="39"/>
        <v>0.11331772348986963</v>
      </c>
      <c r="G168">
        <f t="shared" si="42"/>
        <v>1009.6094508634462</v>
      </c>
      <c r="H168" t="s">
        <v>27</v>
      </c>
      <c r="I168">
        <v>2677</v>
      </c>
      <c r="J168">
        <v>1407</v>
      </c>
      <c r="K168">
        <v>28</v>
      </c>
      <c r="L168">
        <v>34</v>
      </c>
      <c r="M168">
        <v>13</v>
      </c>
      <c r="N168">
        <f t="shared" si="40"/>
        <v>75</v>
      </c>
      <c r="O168">
        <v>0</v>
      </c>
      <c r="P168" t="str">
        <f t="shared" si="41"/>
        <v>Nem</v>
      </c>
      <c r="W168" t="b">
        <f t="shared" si="44"/>
        <v>0</v>
      </c>
      <c r="X168" t="b">
        <f t="shared" si="45"/>
        <v>0</v>
      </c>
      <c r="Y168" t="b">
        <f t="shared" si="46"/>
        <v>0</v>
      </c>
      <c r="Z168" t="b">
        <f t="shared" si="47"/>
        <v>0</v>
      </c>
      <c r="AA168" t="b">
        <f t="shared" si="48"/>
        <v>0</v>
      </c>
      <c r="AB168" t="str">
        <f t="shared" si="43"/>
        <v>nem</v>
      </c>
    </row>
    <row r="169" spans="1:28" x14ac:dyDescent="0.25">
      <c r="A169" t="s">
        <v>216</v>
      </c>
      <c r="B169" t="s">
        <v>40</v>
      </c>
      <c r="C169">
        <v>45.9149727</v>
      </c>
      <c r="D169">
        <f t="shared" si="38"/>
        <v>0.80136744957831063</v>
      </c>
      <c r="E169">
        <v>11.173014999999999</v>
      </c>
      <c r="F169">
        <f t="shared" si="39"/>
        <v>0.19500589912471422</v>
      </c>
      <c r="G169">
        <f t="shared" si="42"/>
        <v>624.84882288348933</v>
      </c>
      <c r="H169" t="s">
        <v>27</v>
      </c>
      <c r="I169">
        <v>1850</v>
      </c>
      <c r="J169">
        <v>1200</v>
      </c>
      <c r="K169">
        <v>36</v>
      </c>
      <c r="L169">
        <v>32</v>
      </c>
      <c r="M169">
        <v>5</v>
      </c>
      <c r="N169">
        <f t="shared" si="40"/>
        <v>73</v>
      </c>
      <c r="O169">
        <v>3</v>
      </c>
      <c r="P169" t="str">
        <f t="shared" si="41"/>
        <v>Nem</v>
      </c>
      <c r="W169" t="b">
        <f t="shared" si="44"/>
        <v>0</v>
      </c>
      <c r="X169" t="b">
        <f t="shared" si="45"/>
        <v>0</v>
      </c>
      <c r="Y169" t="b">
        <f t="shared" si="46"/>
        <v>0</v>
      </c>
      <c r="Z169" t="b">
        <f t="shared" si="47"/>
        <v>0</v>
      </c>
      <c r="AA169" t="b">
        <f t="shared" si="48"/>
        <v>0</v>
      </c>
      <c r="AB169" t="str">
        <f t="shared" si="43"/>
        <v>nem</v>
      </c>
    </row>
    <row r="170" spans="1:28" x14ac:dyDescent="0.25">
      <c r="A170" t="s">
        <v>217</v>
      </c>
      <c r="B170" t="s">
        <v>37</v>
      </c>
      <c r="C170">
        <v>46.822877300000002</v>
      </c>
      <c r="D170">
        <f t="shared" si="38"/>
        <v>0.81721337414231277</v>
      </c>
      <c r="E170">
        <v>8.4006570350000001</v>
      </c>
      <c r="F170">
        <f t="shared" si="39"/>
        <v>0.14661912459157453</v>
      </c>
      <c r="G170">
        <f t="shared" si="42"/>
        <v>807.27851979819411</v>
      </c>
      <c r="H170" t="s">
        <v>66</v>
      </c>
      <c r="I170">
        <v>3020</v>
      </c>
      <c r="J170">
        <v>1000</v>
      </c>
      <c r="K170">
        <v>34</v>
      </c>
      <c r="L170">
        <v>26</v>
      </c>
      <c r="M170">
        <v>12</v>
      </c>
      <c r="N170">
        <f t="shared" si="40"/>
        <v>72</v>
      </c>
      <c r="O170">
        <v>12</v>
      </c>
      <c r="P170" t="str">
        <f t="shared" si="41"/>
        <v>Nem</v>
      </c>
      <c r="W170" t="b">
        <f t="shared" si="44"/>
        <v>0</v>
      </c>
      <c r="X170" t="b">
        <f t="shared" si="45"/>
        <v>0</v>
      </c>
      <c r="Y170" t="b">
        <f t="shared" si="46"/>
        <v>0</v>
      </c>
      <c r="Z170" t="b">
        <f t="shared" si="47"/>
        <v>0</v>
      </c>
      <c r="AA170" t="b">
        <f t="shared" si="48"/>
        <v>0</v>
      </c>
      <c r="AB170" t="str">
        <f t="shared" si="43"/>
        <v>nem</v>
      </c>
    </row>
    <row r="171" spans="1:28" x14ac:dyDescent="0.25">
      <c r="A171" t="s">
        <v>218</v>
      </c>
      <c r="B171" t="s">
        <v>20</v>
      </c>
      <c r="C171">
        <v>61.356147200000002</v>
      </c>
      <c r="D171">
        <f t="shared" si="38"/>
        <v>1.0708667849782998</v>
      </c>
      <c r="E171">
        <v>12.367025959999999</v>
      </c>
      <c r="F171">
        <f t="shared" si="39"/>
        <v>0.21584532168161255</v>
      </c>
      <c r="G171">
        <f t="shared" si="42"/>
        <v>1598.2835184376524</v>
      </c>
      <c r="H171" t="s">
        <v>66</v>
      </c>
      <c r="I171">
        <v>1100</v>
      </c>
      <c r="J171">
        <v>415</v>
      </c>
      <c r="K171">
        <v>33</v>
      </c>
      <c r="L171">
        <v>18</v>
      </c>
      <c r="M171">
        <v>20</v>
      </c>
      <c r="N171">
        <f t="shared" si="40"/>
        <v>71</v>
      </c>
      <c r="O171">
        <v>5</v>
      </c>
      <c r="P171" t="str">
        <f t="shared" si="41"/>
        <v>Nem</v>
      </c>
      <c r="W171" t="b">
        <f t="shared" si="44"/>
        <v>0</v>
      </c>
      <c r="X171" t="b">
        <f t="shared" si="45"/>
        <v>0</v>
      </c>
      <c r="Y171" t="b">
        <f t="shared" si="46"/>
        <v>0</v>
      </c>
      <c r="Z171" t="b">
        <f t="shared" si="47"/>
        <v>0</v>
      </c>
      <c r="AA171" t="b">
        <f t="shared" si="48"/>
        <v>0</v>
      </c>
      <c r="AB171" t="str">
        <f t="shared" si="43"/>
        <v>nem</v>
      </c>
    </row>
    <row r="172" spans="1:28" x14ac:dyDescent="0.25">
      <c r="A172" t="s">
        <v>219</v>
      </c>
      <c r="B172" t="s">
        <v>26</v>
      </c>
      <c r="C172">
        <v>46.871018149999998</v>
      </c>
      <c r="D172">
        <f t="shared" si="38"/>
        <v>0.81805359047952142</v>
      </c>
      <c r="E172">
        <v>10.53500477</v>
      </c>
      <c r="F172">
        <f t="shared" si="39"/>
        <v>0.18387051994980794</v>
      </c>
      <c r="G172">
        <f t="shared" si="42"/>
        <v>646.20049288175244</v>
      </c>
      <c r="H172" t="s">
        <v>27</v>
      </c>
      <c r="I172">
        <v>2850</v>
      </c>
      <c r="J172">
        <v>1400</v>
      </c>
      <c r="K172">
        <v>24</v>
      </c>
      <c r="L172">
        <v>34</v>
      </c>
      <c r="M172">
        <v>13</v>
      </c>
      <c r="N172">
        <f t="shared" si="40"/>
        <v>71</v>
      </c>
      <c r="O172">
        <v>9</v>
      </c>
      <c r="P172" t="str">
        <f t="shared" si="41"/>
        <v>Nem</v>
      </c>
      <c r="W172" t="b">
        <f t="shared" si="44"/>
        <v>0</v>
      </c>
      <c r="X172" t="b">
        <f t="shared" si="45"/>
        <v>0</v>
      </c>
      <c r="Y172" t="b">
        <f t="shared" si="46"/>
        <v>0</v>
      </c>
      <c r="Z172" t="b">
        <f t="shared" si="47"/>
        <v>0</v>
      </c>
      <c r="AA172" t="b">
        <f t="shared" si="48"/>
        <v>0</v>
      </c>
      <c r="AB172" t="str">
        <f t="shared" si="43"/>
        <v>nem</v>
      </c>
    </row>
    <row r="173" spans="1:28" x14ac:dyDescent="0.25">
      <c r="A173" t="s">
        <v>220</v>
      </c>
      <c r="B173" t="s">
        <v>26</v>
      </c>
      <c r="C173">
        <v>47.238379649999999</v>
      </c>
      <c r="D173">
        <f t="shared" si="38"/>
        <v>0.8244652581995866</v>
      </c>
      <c r="E173">
        <v>13.179396580000001</v>
      </c>
      <c r="F173">
        <f t="shared" si="39"/>
        <v>0.23002386374708025</v>
      </c>
      <c r="G173">
        <f t="shared" si="42"/>
        <v>442.22046073446484</v>
      </c>
      <c r="H173" t="s">
        <v>27</v>
      </c>
      <c r="I173">
        <v>2033</v>
      </c>
      <c r="J173">
        <v>850</v>
      </c>
      <c r="K173">
        <v>25</v>
      </c>
      <c r="L173">
        <v>43</v>
      </c>
      <c r="M173">
        <v>1</v>
      </c>
      <c r="N173">
        <f t="shared" si="40"/>
        <v>69</v>
      </c>
      <c r="O173">
        <v>8</v>
      </c>
      <c r="P173" t="str">
        <f t="shared" si="41"/>
        <v>Nem</v>
      </c>
      <c r="W173" t="b">
        <f t="shared" si="44"/>
        <v>0</v>
      </c>
      <c r="X173" t="b">
        <f t="shared" si="45"/>
        <v>0</v>
      </c>
      <c r="Y173" t="b">
        <f t="shared" si="46"/>
        <v>0</v>
      </c>
      <c r="Z173" t="b">
        <f t="shared" si="47"/>
        <v>0</v>
      </c>
      <c r="AA173" t="b">
        <f t="shared" si="48"/>
        <v>0</v>
      </c>
      <c r="AB173" t="str">
        <f t="shared" si="43"/>
        <v>nem</v>
      </c>
    </row>
    <row r="174" spans="1:28" x14ac:dyDescent="0.25">
      <c r="A174" t="s">
        <v>221</v>
      </c>
      <c r="B174" t="s">
        <v>26</v>
      </c>
      <c r="C174">
        <v>47.0593103</v>
      </c>
      <c r="D174">
        <f t="shared" si="38"/>
        <v>0.82133990845268046</v>
      </c>
      <c r="E174">
        <v>13.615553</v>
      </c>
      <c r="F174">
        <f t="shared" si="39"/>
        <v>0.2376362293297915</v>
      </c>
      <c r="G174">
        <f t="shared" si="42"/>
        <v>412.03894835191051</v>
      </c>
      <c r="H174" t="s">
        <v>23</v>
      </c>
      <c r="I174">
        <v>2220</v>
      </c>
      <c r="J174">
        <v>1066</v>
      </c>
      <c r="K174">
        <v>10</v>
      </c>
      <c r="L174">
        <v>50</v>
      </c>
      <c r="M174">
        <v>10</v>
      </c>
      <c r="N174">
        <f t="shared" si="40"/>
        <v>70</v>
      </c>
      <c r="O174">
        <v>6</v>
      </c>
      <c r="P174" t="str">
        <f t="shared" si="41"/>
        <v>Nem</v>
      </c>
      <c r="W174" t="b">
        <f t="shared" si="44"/>
        <v>0</v>
      </c>
      <c r="X174" t="b">
        <f t="shared" si="45"/>
        <v>0</v>
      </c>
      <c r="Y174" t="b">
        <f t="shared" si="46"/>
        <v>0</v>
      </c>
      <c r="Z174" t="b">
        <f t="shared" si="47"/>
        <v>0</v>
      </c>
      <c r="AA174" t="b">
        <f t="shared" si="48"/>
        <v>0</v>
      </c>
      <c r="AB174" t="str">
        <f t="shared" si="43"/>
        <v>nem</v>
      </c>
    </row>
    <row r="175" spans="1:28" x14ac:dyDescent="0.25">
      <c r="A175" t="s">
        <v>222</v>
      </c>
      <c r="B175" t="s">
        <v>43</v>
      </c>
      <c r="C175">
        <v>45.162253999999997</v>
      </c>
      <c r="D175">
        <f t="shared" si="38"/>
        <v>0.7882300299219791</v>
      </c>
      <c r="E175">
        <v>6.657267525</v>
      </c>
      <c r="F175">
        <f t="shared" si="39"/>
        <v>0.11619123749734392</v>
      </c>
      <c r="G175">
        <f t="shared" si="42"/>
        <v>984.39455096132326</v>
      </c>
      <c r="H175" t="s">
        <v>27</v>
      </c>
      <c r="I175">
        <v>2737</v>
      </c>
      <c r="J175">
        <v>1550</v>
      </c>
      <c r="K175">
        <v>40</v>
      </c>
      <c r="L175">
        <v>20</v>
      </c>
      <c r="M175">
        <v>10</v>
      </c>
      <c r="N175">
        <f t="shared" si="40"/>
        <v>70</v>
      </c>
      <c r="O175">
        <v>0</v>
      </c>
      <c r="P175" t="str">
        <f t="shared" si="41"/>
        <v>Nem</v>
      </c>
      <c r="W175" t="b">
        <f t="shared" si="44"/>
        <v>0</v>
      </c>
      <c r="X175" t="b">
        <f t="shared" si="45"/>
        <v>0</v>
      </c>
      <c r="Y175" t="b">
        <f t="shared" si="46"/>
        <v>0</v>
      </c>
      <c r="Z175" t="b">
        <f t="shared" si="47"/>
        <v>0</v>
      </c>
      <c r="AA175" t="b">
        <f t="shared" si="48"/>
        <v>0</v>
      </c>
      <c r="AB175" t="str">
        <f t="shared" si="43"/>
        <v>nem</v>
      </c>
    </row>
    <row r="176" spans="1:28" x14ac:dyDescent="0.25">
      <c r="A176" t="s">
        <v>223</v>
      </c>
      <c r="B176" t="s">
        <v>37</v>
      </c>
      <c r="C176">
        <v>46.596957000000003</v>
      </c>
      <c r="D176">
        <f t="shared" si="38"/>
        <v>0.81327032106021946</v>
      </c>
      <c r="E176">
        <v>9.5981492999999993</v>
      </c>
      <c r="F176">
        <f t="shared" si="39"/>
        <v>0.16751930738298895</v>
      </c>
      <c r="G176">
        <f t="shared" si="42"/>
        <v>721.92034061565869</v>
      </c>
      <c r="H176" t="s">
        <v>27</v>
      </c>
      <c r="I176">
        <v>2713</v>
      </c>
      <c r="J176">
        <v>1200</v>
      </c>
      <c r="K176">
        <v>32</v>
      </c>
      <c r="L176">
        <v>38</v>
      </c>
      <c r="M176">
        <v>0</v>
      </c>
      <c r="N176">
        <f t="shared" si="40"/>
        <v>70</v>
      </c>
      <c r="O176">
        <v>11</v>
      </c>
      <c r="P176" t="str">
        <f t="shared" si="41"/>
        <v>Nem</v>
      </c>
      <c r="W176" t="b">
        <f t="shared" si="44"/>
        <v>0</v>
      </c>
      <c r="X176" t="b">
        <f t="shared" si="45"/>
        <v>0</v>
      </c>
      <c r="Y176" t="b">
        <f t="shared" si="46"/>
        <v>0</v>
      </c>
      <c r="Z176" t="b">
        <f t="shared" si="47"/>
        <v>0</v>
      </c>
      <c r="AA176" t="b">
        <f t="shared" si="48"/>
        <v>0</v>
      </c>
      <c r="AB176" t="str">
        <f t="shared" si="43"/>
        <v>nem</v>
      </c>
    </row>
    <row r="177" spans="1:28" x14ac:dyDescent="0.25">
      <c r="A177" t="s">
        <v>224</v>
      </c>
      <c r="B177" t="s">
        <v>37</v>
      </c>
      <c r="C177">
        <v>46.811169</v>
      </c>
      <c r="D177">
        <f t="shared" si="38"/>
        <v>0.81700902575750145</v>
      </c>
      <c r="E177">
        <v>10.2726212</v>
      </c>
      <c r="F177">
        <f t="shared" si="39"/>
        <v>0.17929106275017093</v>
      </c>
      <c r="G177">
        <f t="shared" si="42"/>
        <v>666.98427035365387</v>
      </c>
      <c r="H177" t="s">
        <v>27</v>
      </c>
      <c r="I177">
        <v>2785</v>
      </c>
      <c r="J177">
        <v>1250</v>
      </c>
      <c r="K177">
        <v>27</v>
      </c>
      <c r="L177">
        <v>32</v>
      </c>
      <c r="M177">
        <v>11</v>
      </c>
      <c r="N177">
        <f t="shared" si="40"/>
        <v>70</v>
      </c>
      <c r="O177">
        <v>10</v>
      </c>
      <c r="P177" t="str">
        <f t="shared" si="41"/>
        <v>Nem</v>
      </c>
      <c r="W177" t="b">
        <f t="shared" si="44"/>
        <v>0</v>
      </c>
      <c r="X177" t="b">
        <f t="shared" si="45"/>
        <v>0</v>
      </c>
      <c r="Y177" t="b">
        <f t="shared" si="46"/>
        <v>0</v>
      </c>
      <c r="Z177" t="b">
        <f t="shared" si="47"/>
        <v>0</v>
      </c>
      <c r="AA177" t="b">
        <f t="shared" si="48"/>
        <v>0</v>
      </c>
      <c r="AB177" t="str">
        <f t="shared" si="43"/>
        <v>nem</v>
      </c>
    </row>
    <row r="178" spans="1:28" x14ac:dyDescent="0.25">
      <c r="A178" t="s">
        <v>225</v>
      </c>
      <c r="B178" t="s">
        <v>40</v>
      </c>
      <c r="C178">
        <v>46.36726075</v>
      </c>
      <c r="D178">
        <f t="shared" si="38"/>
        <v>0.80926136521823533</v>
      </c>
      <c r="E178">
        <v>11.802369560000001</v>
      </c>
      <c r="F178">
        <f t="shared" si="39"/>
        <v>0.20599020835915446</v>
      </c>
      <c r="G178">
        <f t="shared" si="42"/>
        <v>563.54228211072302</v>
      </c>
      <c r="H178" t="s">
        <v>23</v>
      </c>
      <c r="I178">
        <v>2513</v>
      </c>
      <c r="J178">
        <v>1190</v>
      </c>
      <c r="K178">
        <v>20</v>
      </c>
      <c r="L178">
        <v>38</v>
      </c>
      <c r="M178">
        <v>8</v>
      </c>
      <c r="N178">
        <f t="shared" si="40"/>
        <v>66</v>
      </c>
      <c r="O178">
        <v>0</v>
      </c>
      <c r="P178" t="str">
        <f t="shared" si="41"/>
        <v>Nem</v>
      </c>
      <c r="W178" t="b">
        <f t="shared" si="44"/>
        <v>0</v>
      </c>
      <c r="X178" t="b">
        <f t="shared" si="45"/>
        <v>0</v>
      </c>
      <c r="Y178" t="b">
        <f t="shared" si="46"/>
        <v>0</v>
      </c>
      <c r="Z178" t="b">
        <f t="shared" si="47"/>
        <v>0</v>
      </c>
      <c r="AA178" t="b">
        <f t="shared" si="48"/>
        <v>0</v>
      </c>
      <c r="AB178" t="str">
        <f t="shared" si="43"/>
        <v>nem</v>
      </c>
    </row>
    <row r="179" spans="1:28" x14ac:dyDescent="0.25">
      <c r="A179" t="s">
        <v>226</v>
      </c>
      <c r="B179" t="s">
        <v>43</v>
      </c>
      <c r="C179">
        <v>42.780207449999999</v>
      </c>
      <c r="D179">
        <f t="shared" si="38"/>
        <v>0.74665547468870741</v>
      </c>
      <c r="E179">
        <v>0.15861350699999999</v>
      </c>
      <c r="F179">
        <f t="shared" si="39"/>
        <v>2.7683279352850735E-3</v>
      </c>
      <c r="G179">
        <f t="shared" si="42"/>
        <v>1566.3737946539957</v>
      </c>
      <c r="H179" t="s">
        <v>23</v>
      </c>
      <c r="I179">
        <v>2560</v>
      </c>
      <c r="J179">
        <v>1420</v>
      </c>
      <c r="K179">
        <v>35</v>
      </c>
      <c r="L179">
        <v>22</v>
      </c>
      <c r="M179">
        <v>8</v>
      </c>
      <c r="N179">
        <f t="shared" si="40"/>
        <v>65</v>
      </c>
      <c r="O179">
        <v>0</v>
      </c>
      <c r="P179" t="str">
        <f t="shared" si="41"/>
        <v>Nem</v>
      </c>
      <c r="W179" t="b">
        <f t="shared" si="44"/>
        <v>0</v>
      </c>
      <c r="X179" t="b">
        <f t="shared" si="45"/>
        <v>0</v>
      </c>
      <c r="Y179" t="b">
        <f t="shared" si="46"/>
        <v>0</v>
      </c>
      <c r="Z179" t="b">
        <f t="shared" si="47"/>
        <v>0</v>
      </c>
      <c r="AA179" t="b">
        <f t="shared" si="48"/>
        <v>0</v>
      </c>
      <c r="AB179" t="str">
        <f t="shared" si="43"/>
        <v>nem</v>
      </c>
    </row>
    <row r="180" spans="1:28" x14ac:dyDescent="0.25">
      <c r="A180" t="s">
        <v>227</v>
      </c>
      <c r="B180" t="s">
        <v>37</v>
      </c>
      <c r="C180">
        <v>47.082850200000003</v>
      </c>
      <c r="D180">
        <f t="shared" si="38"/>
        <v>0.82175075721327073</v>
      </c>
      <c r="E180">
        <v>9.2765899340000004</v>
      </c>
      <c r="F180">
        <f t="shared" si="39"/>
        <v>0.16190703770566348</v>
      </c>
      <c r="G180">
        <f t="shared" si="42"/>
        <v>737.34706043217136</v>
      </c>
      <c r="H180" t="s">
        <v>23</v>
      </c>
      <c r="I180">
        <v>665</v>
      </c>
      <c r="J180">
        <v>425</v>
      </c>
      <c r="K180">
        <v>10</v>
      </c>
      <c r="L180">
        <v>38</v>
      </c>
      <c r="M180">
        <v>17</v>
      </c>
      <c r="N180">
        <f t="shared" si="40"/>
        <v>65</v>
      </c>
      <c r="O180">
        <v>6</v>
      </c>
      <c r="P180" t="str">
        <f t="shared" si="41"/>
        <v>Nem</v>
      </c>
      <c r="W180" t="b">
        <f t="shared" si="44"/>
        <v>0</v>
      </c>
      <c r="X180" t="b">
        <f t="shared" si="45"/>
        <v>0</v>
      </c>
      <c r="Y180" t="b">
        <f t="shared" si="46"/>
        <v>0</v>
      </c>
      <c r="Z180" t="b">
        <f t="shared" si="47"/>
        <v>0</v>
      </c>
      <c r="AA180" t="b">
        <f t="shared" si="48"/>
        <v>0</v>
      </c>
      <c r="AB180" t="str">
        <f t="shared" si="43"/>
        <v>nem</v>
      </c>
    </row>
    <row r="181" spans="1:28" x14ac:dyDescent="0.25">
      <c r="A181" t="s">
        <v>228</v>
      </c>
      <c r="B181" t="s">
        <v>43</v>
      </c>
      <c r="C181">
        <v>44.357817599999997</v>
      </c>
      <c r="D181">
        <f t="shared" si="38"/>
        <v>0.77418996611908897</v>
      </c>
      <c r="E181">
        <v>6.6855951999999998</v>
      </c>
      <c r="F181">
        <f t="shared" si="39"/>
        <v>0.1166856486955288</v>
      </c>
      <c r="G181">
        <f t="shared" si="42"/>
        <v>1015.970074501568</v>
      </c>
      <c r="H181" t="s">
        <v>27</v>
      </c>
      <c r="I181">
        <v>2450</v>
      </c>
      <c r="J181">
        <v>1400</v>
      </c>
      <c r="K181">
        <v>35</v>
      </c>
      <c r="L181">
        <v>20</v>
      </c>
      <c r="M181">
        <v>10</v>
      </c>
      <c r="N181">
        <f t="shared" si="40"/>
        <v>65</v>
      </c>
      <c r="O181">
        <v>0</v>
      </c>
      <c r="P181" t="str">
        <f t="shared" si="41"/>
        <v>Nem</v>
      </c>
      <c r="W181" t="b">
        <f t="shared" si="44"/>
        <v>0</v>
      </c>
      <c r="X181" t="b">
        <f t="shared" si="45"/>
        <v>0</v>
      </c>
      <c r="Y181" t="b">
        <f t="shared" si="46"/>
        <v>0</v>
      </c>
      <c r="Z181" t="b">
        <f t="shared" si="47"/>
        <v>0</v>
      </c>
      <c r="AA181" t="b">
        <f t="shared" si="48"/>
        <v>0</v>
      </c>
      <c r="AB181" t="str">
        <f t="shared" si="43"/>
        <v>nem</v>
      </c>
    </row>
    <row r="182" spans="1:28" x14ac:dyDescent="0.25">
      <c r="A182" t="s">
        <v>229</v>
      </c>
      <c r="B182" t="s">
        <v>43</v>
      </c>
      <c r="C182">
        <v>45.177256499999999</v>
      </c>
      <c r="D182">
        <f t="shared" si="38"/>
        <v>0.7884918729430096</v>
      </c>
      <c r="E182">
        <v>6.7195144999999998</v>
      </c>
      <c r="F182">
        <f t="shared" si="39"/>
        <v>0.11727765216050051</v>
      </c>
      <c r="G182">
        <f t="shared" si="42"/>
        <v>979.2380510303235</v>
      </c>
      <c r="H182" t="s">
        <v>27</v>
      </c>
      <c r="I182">
        <v>2750</v>
      </c>
      <c r="J182">
        <v>1350</v>
      </c>
      <c r="K182">
        <v>17</v>
      </c>
      <c r="L182">
        <v>43</v>
      </c>
      <c r="M182">
        <v>5</v>
      </c>
      <c r="N182">
        <f t="shared" si="40"/>
        <v>65</v>
      </c>
      <c r="O182">
        <v>0</v>
      </c>
      <c r="P182" t="str">
        <f t="shared" si="41"/>
        <v>Nem</v>
      </c>
      <c r="W182" t="b">
        <f t="shared" si="44"/>
        <v>0</v>
      </c>
      <c r="X182" t="b">
        <f t="shared" si="45"/>
        <v>0</v>
      </c>
      <c r="Y182" t="b">
        <f t="shared" si="46"/>
        <v>0</v>
      </c>
      <c r="Z182" t="b">
        <f t="shared" si="47"/>
        <v>0</v>
      </c>
      <c r="AA182" t="b">
        <f t="shared" si="48"/>
        <v>0</v>
      </c>
      <c r="AB182" t="str">
        <f t="shared" si="43"/>
        <v>nem</v>
      </c>
    </row>
    <row r="183" spans="1:28" x14ac:dyDescent="0.25">
      <c r="A183" t="s">
        <v>230</v>
      </c>
      <c r="B183" t="s">
        <v>61</v>
      </c>
      <c r="C183">
        <v>42.554640749999997</v>
      </c>
      <c r="D183">
        <f t="shared" si="38"/>
        <v>0.74271859309084909</v>
      </c>
      <c r="E183">
        <v>1.448789398</v>
      </c>
      <c r="F183">
        <f t="shared" si="39"/>
        <v>2.5286145163086551E-2</v>
      </c>
      <c r="G183">
        <f t="shared" si="42"/>
        <v>1483.6499468933562</v>
      </c>
      <c r="H183" t="s">
        <v>27</v>
      </c>
      <c r="I183">
        <v>1550</v>
      </c>
      <c r="J183">
        <v>1230</v>
      </c>
      <c r="K183">
        <v>31</v>
      </c>
      <c r="L183">
        <v>24</v>
      </c>
      <c r="M183">
        <v>8</v>
      </c>
      <c r="N183">
        <f t="shared" si="40"/>
        <v>63</v>
      </c>
      <c r="O183">
        <v>7</v>
      </c>
      <c r="P183" t="str">
        <f t="shared" si="41"/>
        <v>Nem</v>
      </c>
      <c r="W183" t="b">
        <f t="shared" si="44"/>
        <v>0</v>
      </c>
      <c r="X183" t="b">
        <f t="shared" si="45"/>
        <v>0</v>
      </c>
      <c r="Y183" t="b">
        <f t="shared" si="46"/>
        <v>0</v>
      </c>
      <c r="Z183" t="b">
        <f t="shared" si="47"/>
        <v>0</v>
      </c>
      <c r="AA183" t="b">
        <f t="shared" si="48"/>
        <v>0</v>
      </c>
      <c r="AB183" t="str">
        <f t="shared" si="43"/>
        <v>nem</v>
      </c>
    </row>
    <row r="184" spans="1:28" x14ac:dyDescent="0.25">
      <c r="A184" t="s">
        <v>231</v>
      </c>
      <c r="B184" t="s">
        <v>40</v>
      </c>
      <c r="C184">
        <v>46.4971763</v>
      </c>
      <c r="D184">
        <f t="shared" si="38"/>
        <v>0.81152881931527465</v>
      </c>
      <c r="E184">
        <v>11.874090199999999</v>
      </c>
      <c r="F184">
        <f t="shared" si="39"/>
        <v>0.20724196966879199</v>
      </c>
      <c r="G184">
        <f t="shared" si="42"/>
        <v>554.52725709224728</v>
      </c>
      <c r="H184" t="s">
        <v>27</v>
      </c>
      <c r="I184">
        <v>2478</v>
      </c>
      <c r="J184">
        <v>1602</v>
      </c>
      <c r="K184">
        <v>32</v>
      </c>
      <c r="L184">
        <v>22</v>
      </c>
      <c r="M184">
        <v>8</v>
      </c>
      <c r="N184">
        <f t="shared" si="40"/>
        <v>62</v>
      </c>
      <c r="O184">
        <v>4</v>
      </c>
      <c r="P184" t="str">
        <f t="shared" si="41"/>
        <v>Nem</v>
      </c>
      <c r="W184" t="b">
        <f t="shared" si="44"/>
        <v>0</v>
      </c>
      <c r="X184" t="b">
        <f t="shared" si="45"/>
        <v>0</v>
      </c>
      <c r="Y184" t="b">
        <f t="shared" si="46"/>
        <v>0</v>
      </c>
      <c r="Z184" t="b">
        <f t="shared" si="47"/>
        <v>0</v>
      </c>
      <c r="AA184" t="b">
        <f t="shared" si="48"/>
        <v>0</v>
      </c>
      <c r="AB184" t="str">
        <f t="shared" si="43"/>
        <v>nem</v>
      </c>
    </row>
    <row r="185" spans="1:28" x14ac:dyDescent="0.25">
      <c r="A185" t="s">
        <v>232</v>
      </c>
      <c r="B185" t="s">
        <v>26</v>
      </c>
      <c r="C185">
        <v>47.274337500000001</v>
      </c>
      <c r="D185">
        <f t="shared" si="38"/>
        <v>0.82509284107402481</v>
      </c>
      <c r="E185">
        <v>12.297741350000001</v>
      </c>
      <c r="F185">
        <f t="shared" si="39"/>
        <v>0.21463607711615237</v>
      </c>
      <c r="G185">
        <f t="shared" si="42"/>
        <v>508.05708508529608</v>
      </c>
      <c r="H185" t="s">
        <v>27</v>
      </c>
      <c r="I185">
        <v>2150</v>
      </c>
      <c r="J185">
        <v>820</v>
      </c>
      <c r="K185">
        <v>28</v>
      </c>
      <c r="L185">
        <v>25</v>
      </c>
      <c r="M185">
        <v>9</v>
      </c>
      <c r="N185">
        <f t="shared" si="40"/>
        <v>62</v>
      </c>
      <c r="O185">
        <v>14</v>
      </c>
      <c r="P185" t="str">
        <f t="shared" si="41"/>
        <v>Nem</v>
      </c>
      <c r="W185" t="b">
        <f t="shared" si="44"/>
        <v>0</v>
      </c>
      <c r="X185" t="b">
        <f t="shared" si="45"/>
        <v>0</v>
      </c>
      <c r="Y185" t="b">
        <f t="shared" si="46"/>
        <v>0</v>
      </c>
      <c r="Z185" t="b">
        <f t="shared" si="47"/>
        <v>0</v>
      </c>
      <c r="AA185" t="b">
        <f t="shared" si="48"/>
        <v>0</v>
      </c>
      <c r="AB185" t="str">
        <f t="shared" si="43"/>
        <v>nem</v>
      </c>
    </row>
    <row r="186" spans="1:28" x14ac:dyDescent="0.25">
      <c r="A186" t="s">
        <v>233</v>
      </c>
      <c r="B186" t="s">
        <v>26</v>
      </c>
      <c r="C186">
        <v>47.061276999999997</v>
      </c>
      <c r="D186">
        <f t="shared" si="38"/>
        <v>0.82137423384307939</v>
      </c>
      <c r="E186">
        <v>11.665036000000001</v>
      </c>
      <c r="F186">
        <f t="shared" si="39"/>
        <v>0.20359328556366926</v>
      </c>
      <c r="G186">
        <f t="shared" si="42"/>
        <v>558.26477524721372</v>
      </c>
      <c r="H186" t="s">
        <v>38</v>
      </c>
      <c r="I186">
        <v>3250</v>
      </c>
      <c r="J186">
        <v>1500</v>
      </c>
      <c r="K186">
        <v>14</v>
      </c>
      <c r="L186">
        <v>35</v>
      </c>
      <c r="M186">
        <v>11</v>
      </c>
      <c r="N186">
        <f t="shared" si="40"/>
        <v>60</v>
      </c>
      <c r="O186">
        <v>7</v>
      </c>
      <c r="P186" t="str">
        <f t="shared" si="41"/>
        <v>Igen</v>
      </c>
      <c r="W186" t="b">
        <f t="shared" si="44"/>
        <v>0</v>
      </c>
      <c r="X186" t="b">
        <f t="shared" si="45"/>
        <v>0</v>
      </c>
      <c r="Y186" t="b">
        <f t="shared" si="46"/>
        <v>0</v>
      </c>
      <c r="Z186">
        <f t="shared" si="47"/>
        <v>1</v>
      </c>
      <c r="AA186" t="b">
        <f t="shared" si="48"/>
        <v>1</v>
      </c>
      <c r="AB186" t="str">
        <f t="shared" si="43"/>
        <v>igen</v>
      </c>
    </row>
    <row r="187" spans="1:28" x14ac:dyDescent="0.25">
      <c r="A187" t="s">
        <v>234</v>
      </c>
      <c r="B187" t="s">
        <v>37</v>
      </c>
      <c r="C187">
        <v>46.704174799999997</v>
      </c>
      <c r="D187">
        <f t="shared" si="38"/>
        <v>0.81514162468696405</v>
      </c>
      <c r="E187">
        <v>8.8549784999999996</v>
      </c>
      <c r="F187">
        <f t="shared" si="39"/>
        <v>0.15454853001830871</v>
      </c>
      <c r="G187">
        <f t="shared" si="42"/>
        <v>775.40102143418289</v>
      </c>
      <c r="H187" t="s">
        <v>27</v>
      </c>
      <c r="I187">
        <v>2833</v>
      </c>
      <c r="J187">
        <v>1227</v>
      </c>
      <c r="K187">
        <v>20</v>
      </c>
      <c r="L187">
        <v>30</v>
      </c>
      <c r="M187">
        <v>10</v>
      </c>
      <c r="N187">
        <f t="shared" si="40"/>
        <v>60</v>
      </c>
      <c r="O187">
        <v>10</v>
      </c>
      <c r="P187" t="str">
        <f t="shared" si="41"/>
        <v>Nem</v>
      </c>
      <c r="W187" t="b">
        <f t="shared" si="44"/>
        <v>0</v>
      </c>
      <c r="X187" t="b">
        <f t="shared" si="45"/>
        <v>0</v>
      </c>
      <c r="Y187" t="b">
        <f t="shared" si="46"/>
        <v>0</v>
      </c>
      <c r="Z187" t="b">
        <f t="shared" si="47"/>
        <v>0</v>
      </c>
      <c r="AA187" t="b">
        <f t="shared" si="48"/>
        <v>0</v>
      </c>
      <c r="AB187" t="str">
        <f t="shared" si="43"/>
        <v>nem</v>
      </c>
    </row>
    <row r="188" spans="1:28" x14ac:dyDescent="0.25">
      <c r="A188" t="s">
        <v>235</v>
      </c>
      <c r="B188" t="s">
        <v>37</v>
      </c>
      <c r="C188">
        <v>46.364882299999998</v>
      </c>
      <c r="D188">
        <f t="shared" si="38"/>
        <v>0.80921985343464131</v>
      </c>
      <c r="E188">
        <v>7.9796899000000003</v>
      </c>
      <c r="F188">
        <f t="shared" si="39"/>
        <v>0.13927186204313707</v>
      </c>
      <c r="G188">
        <f t="shared" si="42"/>
        <v>848.49811261970126</v>
      </c>
      <c r="H188" t="s">
        <v>27</v>
      </c>
      <c r="I188">
        <v>3118</v>
      </c>
      <c r="J188">
        <v>1322</v>
      </c>
      <c r="K188">
        <v>20</v>
      </c>
      <c r="L188">
        <v>20</v>
      </c>
      <c r="M188">
        <v>20</v>
      </c>
      <c r="N188">
        <f t="shared" si="40"/>
        <v>60</v>
      </c>
      <c r="O188">
        <v>0</v>
      </c>
      <c r="P188" t="str">
        <f t="shared" si="41"/>
        <v>Nem</v>
      </c>
      <c r="W188" t="b">
        <f t="shared" si="44"/>
        <v>0</v>
      </c>
      <c r="X188" t="b">
        <f t="shared" si="45"/>
        <v>0</v>
      </c>
      <c r="Y188" t="b">
        <f t="shared" si="46"/>
        <v>0</v>
      </c>
      <c r="Z188" t="b">
        <f t="shared" si="47"/>
        <v>0</v>
      </c>
      <c r="AA188" t="b">
        <f t="shared" si="48"/>
        <v>0</v>
      </c>
      <c r="AB188" t="str">
        <f t="shared" si="43"/>
        <v>nem</v>
      </c>
    </row>
    <row r="189" spans="1:28" x14ac:dyDescent="0.25">
      <c r="A189" t="s">
        <v>236</v>
      </c>
      <c r="B189" t="s">
        <v>40</v>
      </c>
      <c r="C189">
        <v>46.262337700000003</v>
      </c>
      <c r="D189">
        <f t="shared" si="38"/>
        <v>0.80743011253450081</v>
      </c>
      <c r="E189">
        <v>11.802828</v>
      </c>
      <c r="F189">
        <f t="shared" si="39"/>
        <v>0.20599820964657728</v>
      </c>
      <c r="G189">
        <f t="shared" si="42"/>
        <v>566.74037865554681</v>
      </c>
      <c r="H189" t="s">
        <v>23</v>
      </c>
      <c r="I189">
        <v>2357</v>
      </c>
      <c r="J189">
        <v>1404</v>
      </c>
      <c r="K189">
        <v>16</v>
      </c>
      <c r="L189">
        <v>32</v>
      </c>
      <c r="M189">
        <v>12</v>
      </c>
      <c r="N189">
        <f t="shared" si="40"/>
        <v>60</v>
      </c>
      <c r="O189">
        <v>3</v>
      </c>
      <c r="P189" t="str">
        <f t="shared" si="41"/>
        <v>Nem</v>
      </c>
      <c r="W189" t="b">
        <f t="shared" si="44"/>
        <v>0</v>
      </c>
      <c r="X189" t="b">
        <f t="shared" si="45"/>
        <v>0</v>
      </c>
      <c r="Y189" t="b">
        <f t="shared" si="46"/>
        <v>0</v>
      </c>
      <c r="Z189" t="b">
        <f t="shared" si="47"/>
        <v>0</v>
      </c>
      <c r="AA189" t="b">
        <f t="shared" si="48"/>
        <v>0</v>
      </c>
      <c r="AB189" t="str">
        <f t="shared" si="43"/>
        <v>nem</v>
      </c>
    </row>
    <row r="190" spans="1:28" x14ac:dyDescent="0.25">
      <c r="A190" t="s">
        <v>237</v>
      </c>
      <c r="B190" t="s">
        <v>37</v>
      </c>
      <c r="C190">
        <v>46.746897500000003</v>
      </c>
      <c r="D190">
        <f t="shared" si="38"/>
        <v>0.81588727646730597</v>
      </c>
      <c r="E190">
        <v>8.2194721729999998</v>
      </c>
      <c r="F190">
        <f t="shared" si="39"/>
        <v>0.14345685219490295</v>
      </c>
      <c r="G190">
        <f t="shared" si="42"/>
        <v>822.27910769172809</v>
      </c>
      <c r="H190" t="s">
        <v>27</v>
      </c>
      <c r="I190">
        <v>1055</v>
      </c>
      <c r="J190">
        <v>600</v>
      </c>
      <c r="K190">
        <v>20</v>
      </c>
      <c r="L190">
        <v>34</v>
      </c>
      <c r="M190">
        <v>6</v>
      </c>
      <c r="N190">
        <f t="shared" si="40"/>
        <v>60</v>
      </c>
      <c r="O190">
        <v>8</v>
      </c>
      <c r="P190" t="str">
        <f t="shared" si="41"/>
        <v>Nem</v>
      </c>
      <c r="W190" t="b">
        <f t="shared" si="44"/>
        <v>0</v>
      </c>
      <c r="X190" t="b">
        <f t="shared" si="45"/>
        <v>0</v>
      </c>
      <c r="Y190" t="b">
        <f t="shared" si="46"/>
        <v>0</v>
      </c>
      <c r="Z190" t="b">
        <f t="shared" si="47"/>
        <v>0</v>
      </c>
      <c r="AA190" t="b">
        <f t="shared" si="48"/>
        <v>0</v>
      </c>
      <c r="AB190" t="str">
        <f t="shared" si="43"/>
        <v>nem</v>
      </c>
    </row>
    <row r="191" spans="1:28" x14ac:dyDescent="0.25">
      <c r="A191" t="s">
        <v>238</v>
      </c>
      <c r="B191" t="s">
        <v>37</v>
      </c>
      <c r="C191">
        <v>47.180948999999998</v>
      </c>
      <c r="D191">
        <f t="shared" si="38"/>
        <v>0.82346290426552604</v>
      </c>
      <c r="E191">
        <v>9.3201922199999991</v>
      </c>
      <c r="F191">
        <f t="shared" si="39"/>
        <v>0.16266804115775968</v>
      </c>
      <c r="G191">
        <f t="shared" si="42"/>
        <v>732.7897465817482</v>
      </c>
      <c r="H191" t="s">
        <v>27</v>
      </c>
      <c r="I191">
        <v>2262</v>
      </c>
      <c r="J191">
        <v>900</v>
      </c>
      <c r="K191">
        <v>10</v>
      </c>
      <c r="L191">
        <v>45</v>
      </c>
      <c r="M191">
        <v>5</v>
      </c>
      <c r="N191">
        <f t="shared" si="40"/>
        <v>60</v>
      </c>
      <c r="O191">
        <v>7</v>
      </c>
      <c r="P191" t="str">
        <f t="shared" si="41"/>
        <v>Nem</v>
      </c>
      <c r="W191" t="b">
        <f t="shared" si="44"/>
        <v>0</v>
      </c>
      <c r="X191" t="b">
        <f t="shared" si="45"/>
        <v>0</v>
      </c>
      <c r="Y191" t="b">
        <f t="shared" si="46"/>
        <v>0</v>
      </c>
      <c r="Z191" t="b">
        <f t="shared" si="47"/>
        <v>0</v>
      </c>
      <c r="AA191" t="b">
        <f t="shared" si="48"/>
        <v>0</v>
      </c>
      <c r="AB191" t="str">
        <f t="shared" si="43"/>
        <v>nem</v>
      </c>
    </row>
    <row r="192" spans="1:28" x14ac:dyDescent="0.25">
      <c r="A192" t="s">
        <v>239</v>
      </c>
      <c r="B192" t="s">
        <v>40</v>
      </c>
      <c r="C192">
        <v>46.563903600000003</v>
      </c>
      <c r="D192">
        <f t="shared" si="38"/>
        <v>0.81269343040124076</v>
      </c>
      <c r="E192">
        <v>11.60457618</v>
      </c>
      <c r="F192">
        <f t="shared" si="39"/>
        <v>0.20253806263950616</v>
      </c>
      <c r="G192">
        <f t="shared" si="42"/>
        <v>572.8094122435416</v>
      </c>
      <c r="H192" t="s">
        <v>27</v>
      </c>
      <c r="I192">
        <v>1669</v>
      </c>
      <c r="J192">
        <v>1000</v>
      </c>
      <c r="K192">
        <v>14</v>
      </c>
      <c r="L192">
        <v>45</v>
      </c>
      <c r="M192">
        <v>1</v>
      </c>
      <c r="N192">
        <f t="shared" si="40"/>
        <v>60</v>
      </c>
      <c r="O192">
        <v>2</v>
      </c>
      <c r="P192" t="str">
        <f t="shared" si="41"/>
        <v>Nem</v>
      </c>
      <c r="W192" t="b">
        <f t="shared" si="44"/>
        <v>0</v>
      </c>
      <c r="X192" t="b">
        <f t="shared" si="45"/>
        <v>0</v>
      </c>
      <c r="Y192" t="b">
        <f t="shared" si="46"/>
        <v>0</v>
      </c>
      <c r="Z192" t="b">
        <f t="shared" si="47"/>
        <v>0</v>
      </c>
      <c r="AA192" t="b">
        <f t="shared" si="48"/>
        <v>0</v>
      </c>
      <c r="AB192" t="str">
        <f t="shared" si="43"/>
        <v>nem</v>
      </c>
    </row>
    <row r="193" spans="1:28" x14ac:dyDescent="0.25">
      <c r="A193" t="s">
        <v>240</v>
      </c>
      <c r="B193" t="s">
        <v>43</v>
      </c>
      <c r="C193">
        <v>45.091200299999997</v>
      </c>
      <c r="D193">
        <f t="shared" si="38"/>
        <v>0.78698990891125487</v>
      </c>
      <c r="E193">
        <v>2.7503788</v>
      </c>
      <c r="F193">
        <f t="shared" si="39"/>
        <v>4.8003165737050615E-2</v>
      </c>
      <c r="G193">
        <f t="shared" si="42"/>
        <v>1277.2984075992133</v>
      </c>
      <c r="H193" t="s">
        <v>27</v>
      </c>
      <c r="I193">
        <v>1850</v>
      </c>
      <c r="J193">
        <v>1160</v>
      </c>
      <c r="K193">
        <v>30</v>
      </c>
      <c r="L193">
        <v>20</v>
      </c>
      <c r="M193">
        <v>10</v>
      </c>
      <c r="N193">
        <f t="shared" si="40"/>
        <v>60</v>
      </c>
      <c r="O193">
        <v>0</v>
      </c>
      <c r="P193" t="str">
        <f t="shared" si="41"/>
        <v>Nem</v>
      </c>
      <c r="W193" t="b">
        <f t="shared" si="44"/>
        <v>0</v>
      </c>
      <c r="X193" t="b">
        <f t="shared" si="45"/>
        <v>0</v>
      </c>
      <c r="Y193" t="b">
        <f t="shared" si="46"/>
        <v>0</v>
      </c>
      <c r="Z193" t="b">
        <f t="shared" si="47"/>
        <v>0</v>
      </c>
      <c r="AA193" t="b">
        <f t="shared" si="48"/>
        <v>0</v>
      </c>
      <c r="AB193" t="str">
        <f t="shared" si="43"/>
        <v>nem</v>
      </c>
    </row>
    <row r="194" spans="1:28" x14ac:dyDescent="0.25">
      <c r="A194" t="s">
        <v>241</v>
      </c>
      <c r="B194" t="s">
        <v>37</v>
      </c>
      <c r="C194">
        <v>46.236536000000001</v>
      </c>
      <c r="D194">
        <f t="shared" si="38"/>
        <v>0.80697978791688896</v>
      </c>
      <c r="E194">
        <v>7.6276312449999999</v>
      </c>
      <c r="F194">
        <f t="shared" si="39"/>
        <v>0.13312727935324425</v>
      </c>
      <c r="G194">
        <f t="shared" si="42"/>
        <v>878.05276731395747</v>
      </c>
      <c r="H194" t="s">
        <v>27</v>
      </c>
      <c r="I194">
        <v>3025</v>
      </c>
      <c r="J194">
        <v>1655</v>
      </c>
      <c r="K194">
        <v>20</v>
      </c>
      <c r="L194">
        <v>30</v>
      </c>
      <c r="M194">
        <v>10</v>
      </c>
      <c r="N194">
        <f t="shared" si="40"/>
        <v>60</v>
      </c>
      <c r="O194">
        <v>0</v>
      </c>
      <c r="P194" t="str">
        <f t="shared" si="41"/>
        <v>Nem</v>
      </c>
      <c r="W194" t="b">
        <f t="shared" si="44"/>
        <v>0</v>
      </c>
      <c r="X194" t="b">
        <f t="shared" si="45"/>
        <v>0</v>
      </c>
      <c r="Y194" t="b">
        <f t="shared" si="46"/>
        <v>0</v>
      </c>
      <c r="Z194" t="b">
        <f t="shared" si="47"/>
        <v>0</v>
      </c>
      <c r="AA194" t="b">
        <f t="shared" si="48"/>
        <v>0</v>
      </c>
      <c r="AB194" t="str">
        <f t="shared" si="43"/>
        <v>nem</v>
      </c>
    </row>
    <row r="195" spans="1:28" x14ac:dyDescent="0.25">
      <c r="A195" t="s">
        <v>242</v>
      </c>
      <c r="B195" t="s">
        <v>43</v>
      </c>
      <c r="C195">
        <v>45.228571199999998</v>
      </c>
      <c r="D195">
        <f t="shared" si="38"/>
        <v>0.78938748341268272</v>
      </c>
      <c r="E195">
        <v>6.4064648999999996</v>
      </c>
      <c r="F195">
        <f t="shared" si="39"/>
        <v>0.11181390591844927</v>
      </c>
      <c r="G195">
        <f t="shared" si="42"/>
        <v>1000.4795110103023</v>
      </c>
      <c r="H195" t="s">
        <v>27</v>
      </c>
      <c r="I195">
        <v>2520</v>
      </c>
      <c r="J195">
        <v>1600</v>
      </c>
      <c r="K195">
        <v>26</v>
      </c>
      <c r="L195">
        <v>25</v>
      </c>
      <c r="M195">
        <v>9</v>
      </c>
      <c r="N195">
        <f t="shared" si="40"/>
        <v>60</v>
      </c>
      <c r="O195">
        <v>0</v>
      </c>
      <c r="P195" t="str">
        <f t="shared" si="41"/>
        <v>Nem</v>
      </c>
      <c r="W195" t="b">
        <f t="shared" si="44"/>
        <v>0</v>
      </c>
      <c r="X195" t="b">
        <f t="shared" si="45"/>
        <v>0</v>
      </c>
      <c r="Y195" t="b">
        <f t="shared" si="46"/>
        <v>0</v>
      </c>
      <c r="Z195" t="b">
        <f t="shared" si="47"/>
        <v>0</v>
      </c>
      <c r="AA195" t="b">
        <f t="shared" si="48"/>
        <v>0</v>
      </c>
      <c r="AB195" t="str">
        <f t="shared" si="43"/>
        <v>nem</v>
      </c>
    </row>
    <row r="196" spans="1:28" x14ac:dyDescent="0.25">
      <c r="A196" t="s">
        <v>243</v>
      </c>
      <c r="B196" t="s">
        <v>43</v>
      </c>
      <c r="C196">
        <v>42.780743600000001</v>
      </c>
      <c r="D196">
        <f t="shared" ref="D196:D259" si="49">RADIANS(C196)</f>
        <v>0.74666483227149205</v>
      </c>
      <c r="E196">
        <v>0.45611310999999999</v>
      </c>
      <c r="F196">
        <f t="shared" ref="F196:F259" si="50">RADIANS(E196)</f>
        <v>7.960675531011074E-3</v>
      </c>
      <c r="G196">
        <f t="shared" si="42"/>
        <v>1544.5537475015224</v>
      </c>
      <c r="H196" t="s">
        <v>27</v>
      </c>
      <c r="I196">
        <v>2400</v>
      </c>
      <c r="J196">
        <v>1600</v>
      </c>
      <c r="K196">
        <v>30</v>
      </c>
      <c r="L196">
        <v>26</v>
      </c>
      <c r="M196">
        <v>4</v>
      </c>
      <c r="N196">
        <f t="shared" ref="N196:N259" si="51">SUM(K196,L196,M196)</f>
        <v>60</v>
      </c>
      <c r="O196">
        <v>0</v>
      </c>
      <c r="P196" t="str">
        <f t="shared" ref="P196:P259" si="52">IF(AA196, "Igen", "Nem")</f>
        <v>Nem</v>
      </c>
      <c r="W196" t="b">
        <f t="shared" si="44"/>
        <v>0</v>
      </c>
      <c r="X196" t="b">
        <f t="shared" si="45"/>
        <v>0</v>
      </c>
      <c r="Y196" t="b">
        <f t="shared" si="46"/>
        <v>0</v>
      </c>
      <c r="Z196" t="b">
        <f t="shared" si="47"/>
        <v>0</v>
      </c>
      <c r="AA196" t="b">
        <f t="shared" si="48"/>
        <v>0</v>
      </c>
      <c r="AB196" t="str">
        <f t="shared" si="43"/>
        <v>nem</v>
      </c>
    </row>
    <row r="197" spans="1:28" x14ac:dyDescent="0.25">
      <c r="A197" t="s">
        <v>244</v>
      </c>
      <c r="B197" t="s">
        <v>37</v>
      </c>
      <c r="C197">
        <v>46.343870099999997</v>
      </c>
      <c r="D197">
        <f t="shared" si="49"/>
        <v>0.80885312136155374</v>
      </c>
      <c r="E197">
        <v>7.0148403000000004</v>
      </c>
      <c r="F197">
        <f t="shared" si="50"/>
        <v>0.12243205973658679</v>
      </c>
      <c r="G197">
        <f t="shared" ref="G197:G260" si="53">ACOS(SIN(D197)*SIN($U$2)+COS(D197) * COS($U$2) * COS($V$2 - F197)) * 6371</f>
        <v>921.30852338150987</v>
      </c>
      <c r="H197" t="s">
        <v>27</v>
      </c>
      <c r="I197">
        <v>2205</v>
      </c>
      <c r="J197">
        <v>1250</v>
      </c>
      <c r="K197">
        <v>43</v>
      </c>
      <c r="L197">
        <v>15</v>
      </c>
      <c r="M197">
        <v>2</v>
      </c>
      <c r="N197">
        <f t="shared" si="51"/>
        <v>60</v>
      </c>
      <c r="O197">
        <v>0</v>
      </c>
      <c r="P197" t="str">
        <f t="shared" si="52"/>
        <v>Nem</v>
      </c>
      <c r="W197" t="b">
        <f t="shared" si="44"/>
        <v>0</v>
      </c>
      <c r="X197" t="b">
        <f t="shared" si="45"/>
        <v>0</v>
      </c>
      <c r="Y197" t="b">
        <f t="shared" si="46"/>
        <v>0</v>
      </c>
      <c r="Z197" t="b">
        <f t="shared" si="47"/>
        <v>0</v>
      </c>
      <c r="AA197" t="b">
        <f t="shared" si="48"/>
        <v>0</v>
      </c>
      <c r="AB197" t="str">
        <f t="shared" si="43"/>
        <v>nem</v>
      </c>
    </row>
    <row r="198" spans="1:28" x14ac:dyDescent="0.25">
      <c r="A198" t="s">
        <v>245</v>
      </c>
      <c r="B198" t="s">
        <v>40</v>
      </c>
      <c r="C198">
        <v>46.258603000000001</v>
      </c>
      <c r="D198">
        <f t="shared" si="49"/>
        <v>0.80736492972292651</v>
      </c>
      <c r="E198">
        <v>10.508661999999999</v>
      </c>
      <c r="F198">
        <f t="shared" si="50"/>
        <v>0.18341075187921235</v>
      </c>
      <c r="G198">
        <f t="shared" si="53"/>
        <v>662.57625651543276</v>
      </c>
      <c r="H198" t="s">
        <v>66</v>
      </c>
      <c r="I198">
        <v>3016</v>
      </c>
      <c r="J198">
        <v>1121</v>
      </c>
      <c r="K198">
        <v>10</v>
      </c>
      <c r="L198">
        <v>40</v>
      </c>
      <c r="M198">
        <v>9</v>
      </c>
      <c r="N198">
        <f t="shared" si="51"/>
        <v>59</v>
      </c>
      <c r="O198">
        <v>11</v>
      </c>
      <c r="P198" t="str">
        <f t="shared" si="52"/>
        <v>Nem</v>
      </c>
      <c r="W198" t="b">
        <f t="shared" si="44"/>
        <v>0</v>
      </c>
      <c r="X198" t="b">
        <f t="shared" si="45"/>
        <v>0</v>
      </c>
      <c r="Y198" t="b">
        <f t="shared" si="46"/>
        <v>0</v>
      </c>
      <c r="Z198" t="b">
        <f t="shared" si="47"/>
        <v>0</v>
      </c>
      <c r="AA198" t="b">
        <f t="shared" si="48"/>
        <v>0</v>
      </c>
      <c r="AB198" t="str">
        <f t="shared" si="43"/>
        <v>nem</v>
      </c>
    </row>
    <row r="199" spans="1:28" x14ac:dyDescent="0.25">
      <c r="A199" t="s">
        <v>246</v>
      </c>
      <c r="B199" t="s">
        <v>37</v>
      </c>
      <c r="C199">
        <v>47.291778000000001</v>
      </c>
      <c r="D199">
        <f t="shared" si="49"/>
        <v>0.82539723522221886</v>
      </c>
      <c r="E199">
        <v>9.1733641000000006</v>
      </c>
      <c r="F199">
        <f t="shared" si="50"/>
        <v>0.16010540702924636</v>
      </c>
      <c r="G199">
        <f t="shared" si="53"/>
        <v>742.55874796534465</v>
      </c>
      <c r="H199" t="s">
        <v>59</v>
      </c>
      <c r="I199">
        <v>2151</v>
      </c>
      <c r="J199">
        <v>992</v>
      </c>
      <c r="K199">
        <v>35</v>
      </c>
      <c r="L199">
        <v>17</v>
      </c>
      <c r="M199">
        <v>5</v>
      </c>
      <c r="N199">
        <f t="shared" si="51"/>
        <v>57</v>
      </c>
      <c r="O199">
        <v>0</v>
      </c>
      <c r="P199" t="str">
        <f t="shared" si="52"/>
        <v>Nem</v>
      </c>
      <c r="W199" t="b">
        <f t="shared" si="44"/>
        <v>0</v>
      </c>
      <c r="X199" t="b">
        <f t="shared" si="45"/>
        <v>0</v>
      </c>
      <c r="Y199" t="b">
        <f t="shared" si="46"/>
        <v>0</v>
      </c>
      <c r="Z199" t="b">
        <f t="shared" si="47"/>
        <v>0</v>
      </c>
      <c r="AA199" t="b">
        <f t="shared" si="48"/>
        <v>0</v>
      </c>
      <c r="AB199" t="str">
        <f t="shared" si="43"/>
        <v>nem</v>
      </c>
    </row>
    <row r="200" spans="1:28" x14ac:dyDescent="0.25">
      <c r="A200" t="s">
        <v>247</v>
      </c>
      <c r="B200" t="s">
        <v>37</v>
      </c>
      <c r="C200">
        <v>46.297071099999997</v>
      </c>
      <c r="D200">
        <f t="shared" si="49"/>
        <v>0.80803632472491282</v>
      </c>
      <c r="E200">
        <v>7.3989488000000003</v>
      </c>
      <c r="F200">
        <f t="shared" si="50"/>
        <v>0.12913601774648342</v>
      </c>
      <c r="G200">
        <f t="shared" si="53"/>
        <v>893.65443611270371</v>
      </c>
      <c r="H200" t="s">
        <v>27</v>
      </c>
      <c r="I200">
        <v>2420</v>
      </c>
      <c r="J200">
        <v>1500</v>
      </c>
      <c r="K200">
        <v>12</v>
      </c>
      <c r="L200">
        <v>37</v>
      </c>
      <c r="M200">
        <v>9</v>
      </c>
      <c r="N200">
        <f t="shared" si="51"/>
        <v>58</v>
      </c>
      <c r="O200">
        <v>0</v>
      </c>
      <c r="P200" t="str">
        <f t="shared" si="52"/>
        <v>Nem</v>
      </c>
      <c r="W200" t="b">
        <f t="shared" si="44"/>
        <v>0</v>
      </c>
      <c r="X200" t="b">
        <f t="shared" si="45"/>
        <v>0</v>
      </c>
      <c r="Y200" t="b">
        <f t="shared" si="46"/>
        <v>0</v>
      </c>
      <c r="Z200" t="b">
        <f t="shared" si="47"/>
        <v>0</v>
      </c>
      <c r="AA200" t="b">
        <f t="shared" si="48"/>
        <v>0</v>
      </c>
      <c r="AB200" t="str">
        <f t="shared" si="43"/>
        <v>nem</v>
      </c>
    </row>
    <row r="201" spans="1:28" x14ac:dyDescent="0.25">
      <c r="A201" t="s">
        <v>248</v>
      </c>
      <c r="B201" t="s">
        <v>104</v>
      </c>
      <c r="C201">
        <v>42.2668301</v>
      </c>
      <c r="D201">
        <f t="shared" si="49"/>
        <v>0.73769534962604411</v>
      </c>
      <c r="E201">
        <v>23.6074324</v>
      </c>
      <c r="F201">
        <f t="shared" si="50"/>
        <v>0.412027423321987</v>
      </c>
      <c r="G201">
        <f t="shared" si="53"/>
        <v>683.69055694499195</v>
      </c>
      <c r="H201" t="s">
        <v>27</v>
      </c>
      <c r="I201">
        <v>2560</v>
      </c>
      <c r="J201">
        <v>1300</v>
      </c>
      <c r="K201">
        <v>24</v>
      </c>
      <c r="L201">
        <v>29</v>
      </c>
      <c r="M201">
        <v>5</v>
      </c>
      <c r="N201">
        <f t="shared" si="51"/>
        <v>58</v>
      </c>
      <c r="O201">
        <v>12</v>
      </c>
      <c r="P201" t="str">
        <f t="shared" si="52"/>
        <v>Nem</v>
      </c>
      <c r="W201" t="b">
        <f t="shared" si="44"/>
        <v>0</v>
      </c>
      <c r="X201" t="b">
        <f t="shared" si="45"/>
        <v>0</v>
      </c>
      <c r="Y201" t="b">
        <f t="shared" si="46"/>
        <v>0</v>
      </c>
      <c r="Z201" t="b">
        <f t="shared" si="47"/>
        <v>0</v>
      </c>
      <c r="AA201" t="b">
        <f t="shared" si="48"/>
        <v>0</v>
      </c>
      <c r="AB201" t="str">
        <f t="shared" si="43"/>
        <v>nem</v>
      </c>
    </row>
    <row r="202" spans="1:28" x14ac:dyDescent="0.25">
      <c r="A202" t="s">
        <v>249</v>
      </c>
      <c r="B202" t="s">
        <v>43</v>
      </c>
      <c r="C202">
        <v>42.504398100000003</v>
      </c>
      <c r="D202">
        <f t="shared" si="49"/>
        <v>0.7418416934234221</v>
      </c>
      <c r="E202">
        <v>2.0715162</v>
      </c>
      <c r="F202">
        <f t="shared" si="50"/>
        <v>3.6154778198401363E-2</v>
      </c>
      <c r="G202">
        <f t="shared" si="53"/>
        <v>1441.2766738433756</v>
      </c>
      <c r="H202" t="s">
        <v>27</v>
      </c>
      <c r="I202">
        <v>2213</v>
      </c>
      <c r="J202">
        <v>1650</v>
      </c>
      <c r="K202">
        <v>30</v>
      </c>
      <c r="L202">
        <v>19</v>
      </c>
      <c r="M202">
        <v>9</v>
      </c>
      <c r="N202">
        <f t="shared" si="51"/>
        <v>58</v>
      </c>
      <c r="O202">
        <v>0</v>
      </c>
      <c r="P202" t="str">
        <f t="shared" si="52"/>
        <v>Nem</v>
      </c>
      <c r="W202" t="b">
        <f t="shared" si="44"/>
        <v>0</v>
      </c>
      <c r="X202" t="b">
        <f t="shared" si="45"/>
        <v>0</v>
      </c>
      <c r="Y202" t="b">
        <f t="shared" si="46"/>
        <v>0</v>
      </c>
      <c r="Z202" t="b">
        <f t="shared" si="47"/>
        <v>0</v>
      </c>
      <c r="AA202" t="b">
        <f t="shared" si="48"/>
        <v>0</v>
      </c>
      <c r="AB202" t="str">
        <f t="shared" ref="AB202:AB265" si="54">IF(AA202, "igen", "nem")</f>
        <v>nem</v>
      </c>
    </row>
    <row r="203" spans="1:28" x14ac:dyDescent="0.25">
      <c r="A203" t="s">
        <v>250</v>
      </c>
      <c r="B203" t="s">
        <v>20</v>
      </c>
      <c r="C203">
        <v>62.535178449999997</v>
      </c>
      <c r="D203">
        <f t="shared" si="49"/>
        <v>1.0914447622747041</v>
      </c>
      <c r="E203">
        <v>9.6233041200000002</v>
      </c>
      <c r="F203">
        <f t="shared" si="50"/>
        <v>0.16795834181473551</v>
      </c>
      <c r="G203">
        <f t="shared" si="53"/>
        <v>1772.2536656427078</v>
      </c>
      <c r="I203">
        <v>1300</v>
      </c>
      <c r="J203">
        <v>585</v>
      </c>
      <c r="K203">
        <v>40</v>
      </c>
      <c r="L203">
        <v>7</v>
      </c>
      <c r="M203">
        <v>9</v>
      </c>
      <c r="N203">
        <f t="shared" si="51"/>
        <v>56</v>
      </c>
      <c r="O203">
        <v>0</v>
      </c>
      <c r="P203" t="str">
        <f t="shared" si="52"/>
        <v>Nem</v>
      </c>
      <c r="W203" t="b">
        <f t="shared" si="44"/>
        <v>0</v>
      </c>
      <c r="X203" t="b">
        <f t="shared" si="45"/>
        <v>0</v>
      </c>
      <c r="Y203" t="b">
        <f t="shared" si="46"/>
        <v>0</v>
      </c>
      <c r="Z203" t="b">
        <f t="shared" si="47"/>
        <v>0</v>
      </c>
      <c r="AA203" t="b">
        <f t="shared" si="48"/>
        <v>0</v>
      </c>
      <c r="AB203" t="str">
        <f t="shared" si="54"/>
        <v>nem</v>
      </c>
    </row>
    <row r="204" spans="1:28" x14ac:dyDescent="0.25">
      <c r="A204" t="s">
        <v>251</v>
      </c>
      <c r="B204" t="s">
        <v>43</v>
      </c>
      <c r="C204">
        <v>45.947938399999998</v>
      </c>
      <c r="D204">
        <f t="shared" si="49"/>
        <v>0.80194280958353525</v>
      </c>
      <c r="E204">
        <v>6.8685948769999996</v>
      </c>
      <c r="F204">
        <f t="shared" si="50"/>
        <v>0.11987959558926493</v>
      </c>
      <c r="G204">
        <f t="shared" si="53"/>
        <v>942.64849940288445</v>
      </c>
      <c r="H204" t="s">
        <v>27</v>
      </c>
      <c r="I204">
        <v>2525</v>
      </c>
      <c r="J204">
        <v>1030</v>
      </c>
      <c r="K204">
        <v>11</v>
      </c>
      <c r="L204">
        <v>25</v>
      </c>
      <c r="M204">
        <v>20</v>
      </c>
      <c r="N204">
        <f t="shared" si="51"/>
        <v>56</v>
      </c>
      <c r="O204">
        <v>6</v>
      </c>
      <c r="P204" t="str">
        <f t="shared" si="52"/>
        <v>Nem</v>
      </c>
      <c r="W204" t="b">
        <f t="shared" si="44"/>
        <v>0</v>
      </c>
      <c r="X204" t="b">
        <f t="shared" si="45"/>
        <v>0</v>
      </c>
      <c r="Y204" t="b">
        <f t="shared" si="46"/>
        <v>0</v>
      </c>
      <c r="Z204" t="b">
        <f t="shared" si="47"/>
        <v>0</v>
      </c>
      <c r="AA204" t="b">
        <f t="shared" si="48"/>
        <v>0</v>
      </c>
      <c r="AB204" t="str">
        <f t="shared" si="54"/>
        <v>nem</v>
      </c>
    </row>
    <row r="205" spans="1:28" x14ac:dyDescent="0.25">
      <c r="A205" t="s">
        <v>252</v>
      </c>
      <c r="B205" t="s">
        <v>43</v>
      </c>
      <c r="C205">
        <v>45.891508000000002</v>
      </c>
      <c r="D205">
        <f t="shared" si="49"/>
        <v>0.80095791330531796</v>
      </c>
      <c r="E205">
        <v>6.7991380000000001</v>
      </c>
      <c r="F205">
        <f t="shared" si="50"/>
        <v>0.11866734439746222</v>
      </c>
      <c r="G205">
        <f t="shared" si="53"/>
        <v>949.46946480189831</v>
      </c>
      <c r="H205" t="s">
        <v>27</v>
      </c>
      <c r="I205">
        <v>1000</v>
      </c>
      <c r="J205">
        <v>584</v>
      </c>
      <c r="K205">
        <v>25</v>
      </c>
      <c r="L205">
        <v>25</v>
      </c>
      <c r="M205">
        <v>5</v>
      </c>
      <c r="N205">
        <f t="shared" si="51"/>
        <v>55</v>
      </c>
      <c r="O205">
        <v>4</v>
      </c>
      <c r="P205" t="str">
        <f t="shared" si="52"/>
        <v>Nem</v>
      </c>
      <c r="W205" t="b">
        <f t="shared" si="44"/>
        <v>0</v>
      </c>
      <c r="X205" t="b">
        <f t="shared" si="45"/>
        <v>0</v>
      </c>
      <c r="Y205" t="b">
        <f t="shared" si="46"/>
        <v>0</v>
      </c>
      <c r="Z205" t="b">
        <f t="shared" si="47"/>
        <v>0</v>
      </c>
      <c r="AA205" t="b">
        <f t="shared" si="48"/>
        <v>0</v>
      </c>
      <c r="AB205" t="str">
        <f t="shared" si="54"/>
        <v>nem</v>
      </c>
    </row>
    <row r="206" spans="1:28" x14ac:dyDescent="0.25">
      <c r="A206" t="s">
        <v>253</v>
      </c>
      <c r="B206" t="s">
        <v>97</v>
      </c>
      <c r="C206">
        <v>67.564709199999996</v>
      </c>
      <c r="D206">
        <f t="shared" si="49"/>
        <v>1.1792266336925039</v>
      </c>
      <c r="E206">
        <v>24.224625199999998</v>
      </c>
      <c r="F206">
        <f t="shared" si="50"/>
        <v>0.42279946980158983</v>
      </c>
      <c r="G206">
        <f t="shared" si="53"/>
        <v>2250.8302048928949</v>
      </c>
      <c r="H206" t="s">
        <v>21</v>
      </c>
      <c r="I206">
        <v>718</v>
      </c>
      <c r="J206">
        <v>200</v>
      </c>
      <c r="K206">
        <v>21</v>
      </c>
      <c r="L206">
        <v>28</v>
      </c>
      <c r="M206">
        <v>6</v>
      </c>
      <c r="N206">
        <f t="shared" si="51"/>
        <v>55</v>
      </c>
      <c r="O206">
        <v>3</v>
      </c>
      <c r="P206" t="str">
        <f t="shared" si="52"/>
        <v>Nem</v>
      </c>
      <c r="W206" t="b">
        <f t="shared" si="44"/>
        <v>0</v>
      </c>
      <c r="X206" t="b">
        <f t="shared" si="45"/>
        <v>0</v>
      </c>
      <c r="Y206" t="b">
        <f t="shared" si="46"/>
        <v>0</v>
      </c>
      <c r="Z206" t="b">
        <f t="shared" si="47"/>
        <v>0</v>
      </c>
      <c r="AA206" t="b">
        <f t="shared" si="48"/>
        <v>0</v>
      </c>
      <c r="AB206" t="str">
        <f t="shared" si="54"/>
        <v>nem</v>
      </c>
    </row>
    <row r="207" spans="1:28" x14ac:dyDescent="0.25">
      <c r="A207" t="s">
        <v>254</v>
      </c>
      <c r="B207" t="s">
        <v>40</v>
      </c>
      <c r="C207">
        <v>45.685070400000001</v>
      </c>
      <c r="D207">
        <f t="shared" si="49"/>
        <v>0.79735489748540289</v>
      </c>
      <c r="E207">
        <v>11.772960400000001</v>
      </c>
      <c r="F207">
        <f t="shared" si="50"/>
        <v>0.20547692168690865</v>
      </c>
      <c r="G207">
        <f t="shared" si="53"/>
        <v>590.48701627657829</v>
      </c>
      <c r="H207" t="s">
        <v>27</v>
      </c>
      <c r="I207">
        <v>2428</v>
      </c>
      <c r="J207">
        <v>1320</v>
      </c>
      <c r="K207">
        <v>7</v>
      </c>
      <c r="L207">
        <v>40</v>
      </c>
      <c r="M207">
        <v>7</v>
      </c>
      <c r="N207">
        <f t="shared" si="51"/>
        <v>54</v>
      </c>
      <c r="O207">
        <v>6</v>
      </c>
      <c r="P207" t="str">
        <f t="shared" si="52"/>
        <v>Nem</v>
      </c>
      <c r="W207" t="b">
        <f t="shared" si="44"/>
        <v>0</v>
      </c>
      <c r="X207" t="b">
        <f t="shared" si="45"/>
        <v>0</v>
      </c>
      <c r="Y207" t="b">
        <f t="shared" si="46"/>
        <v>0</v>
      </c>
      <c r="Z207" t="b">
        <f t="shared" si="47"/>
        <v>0</v>
      </c>
      <c r="AA207" t="b">
        <f t="shared" si="48"/>
        <v>0</v>
      </c>
      <c r="AB207" t="str">
        <f t="shared" si="54"/>
        <v>nem</v>
      </c>
    </row>
    <row r="208" spans="1:28" x14ac:dyDescent="0.25">
      <c r="A208" t="s">
        <v>255</v>
      </c>
      <c r="B208" t="s">
        <v>37</v>
      </c>
      <c r="C208">
        <v>46.412746650000003</v>
      </c>
      <c r="D208">
        <f t="shared" si="49"/>
        <v>0.81005524393646833</v>
      </c>
      <c r="E208">
        <v>7.774925326</v>
      </c>
      <c r="F208">
        <f t="shared" si="50"/>
        <v>0.13569804603539348</v>
      </c>
      <c r="G208">
        <f t="shared" si="53"/>
        <v>862.70293076305461</v>
      </c>
      <c r="H208" t="s">
        <v>129</v>
      </c>
      <c r="I208">
        <v>3111</v>
      </c>
      <c r="J208">
        <v>1419</v>
      </c>
      <c r="K208">
        <v>20</v>
      </c>
      <c r="L208">
        <v>17</v>
      </c>
      <c r="M208">
        <v>18</v>
      </c>
      <c r="N208">
        <f t="shared" si="51"/>
        <v>55</v>
      </c>
      <c r="O208">
        <v>10</v>
      </c>
      <c r="P208" t="str">
        <f t="shared" si="52"/>
        <v>Nem</v>
      </c>
      <c r="W208" t="b">
        <f t="shared" si="44"/>
        <v>0</v>
      </c>
      <c r="X208" t="b">
        <f t="shared" si="45"/>
        <v>0</v>
      </c>
      <c r="Y208" t="b">
        <f t="shared" si="46"/>
        <v>0</v>
      </c>
      <c r="Z208" t="b">
        <f t="shared" si="47"/>
        <v>0</v>
      </c>
      <c r="AA208" t="b">
        <f t="shared" si="48"/>
        <v>0</v>
      </c>
      <c r="AB208" t="str">
        <f t="shared" si="54"/>
        <v>nem</v>
      </c>
    </row>
    <row r="209" spans="1:28" x14ac:dyDescent="0.25">
      <c r="A209" t="s">
        <v>256</v>
      </c>
      <c r="B209" t="s">
        <v>26</v>
      </c>
      <c r="C209">
        <v>47.074546400000003</v>
      </c>
      <c r="D209">
        <f t="shared" si="49"/>
        <v>0.82160582856284359</v>
      </c>
      <c r="E209">
        <v>12.6938826</v>
      </c>
      <c r="F209">
        <f t="shared" si="50"/>
        <v>0.22155004623161836</v>
      </c>
      <c r="G209">
        <f t="shared" si="53"/>
        <v>480.86273032494631</v>
      </c>
      <c r="H209" t="s">
        <v>27</v>
      </c>
      <c r="I209">
        <v>2989</v>
      </c>
      <c r="J209">
        <v>1301</v>
      </c>
      <c r="K209">
        <v>20</v>
      </c>
      <c r="L209">
        <v>34</v>
      </c>
      <c r="M209">
        <v>1</v>
      </c>
      <c r="N209">
        <f t="shared" si="51"/>
        <v>55</v>
      </c>
      <c r="O209">
        <v>7</v>
      </c>
      <c r="P209" t="str">
        <f t="shared" si="52"/>
        <v>Nem</v>
      </c>
      <c r="W209" t="b">
        <f t="shared" si="44"/>
        <v>0</v>
      </c>
      <c r="X209" t="b">
        <f t="shared" si="45"/>
        <v>0</v>
      </c>
      <c r="Y209" t="b">
        <f t="shared" si="46"/>
        <v>0</v>
      </c>
      <c r="Z209" t="b">
        <f t="shared" si="47"/>
        <v>0</v>
      </c>
      <c r="AA209" t="b">
        <f t="shared" si="48"/>
        <v>0</v>
      </c>
      <c r="AB209" t="str">
        <f t="shared" si="54"/>
        <v>nem</v>
      </c>
    </row>
    <row r="210" spans="1:28" x14ac:dyDescent="0.25">
      <c r="A210" t="s">
        <v>257</v>
      </c>
      <c r="B210" t="s">
        <v>26</v>
      </c>
      <c r="C210">
        <v>47.119176000000003</v>
      </c>
      <c r="D210">
        <f t="shared" si="49"/>
        <v>0.82238476202669175</v>
      </c>
      <c r="E210">
        <v>9.7578764000000007</v>
      </c>
      <c r="F210">
        <f t="shared" si="50"/>
        <v>0.17030707118265123</v>
      </c>
      <c r="G210">
        <f t="shared" si="53"/>
        <v>700.69728865199113</v>
      </c>
      <c r="H210" t="s">
        <v>27</v>
      </c>
      <c r="I210">
        <v>2000</v>
      </c>
      <c r="J210">
        <v>904</v>
      </c>
      <c r="K210">
        <v>22</v>
      </c>
      <c r="L210">
        <v>30</v>
      </c>
      <c r="M210">
        <v>3</v>
      </c>
      <c r="N210">
        <f t="shared" si="51"/>
        <v>55</v>
      </c>
      <c r="O210">
        <v>5</v>
      </c>
      <c r="P210" t="str">
        <f t="shared" si="52"/>
        <v>Nem</v>
      </c>
      <c r="W210" t="b">
        <f t="shared" si="44"/>
        <v>0</v>
      </c>
      <c r="X210" t="b">
        <f t="shared" si="45"/>
        <v>0</v>
      </c>
      <c r="Y210" t="b">
        <f t="shared" si="46"/>
        <v>0</v>
      </c>
      <c r="Z210" t="b">
        <f t="shared" si="47"/>
        <v>0</v>
      </c>
      <c r="AA210" t="b">
        <f t="shared" si="48"/>
        <v>0</v>
      </c>
      <c r="AB210" t="str">
        <f t="shared" si="54"/>
        <v>nem</v>
      </c>
    </row>
    <row r="211" spans="1:28" x14ac:dyDescent="0.25">
      <c r="A211" t="s">
        <v>258</v>
      </c>
      <c r="B211" t="s">
        <v>43</v>
      </c>
      <c r="C211">
        <v>45.027417700000001</v>
      </c>
      <c r="D211">
        <f t="shared" si="49"/>
        <v>0.78587669253577241</v>
      </c>
      <c r="E211">
        <v>5.8581966000000003</v>
      </c>
      <c r="F211">
        <f t="shared" si="50"/>
        <v>0.10224481889913725</v>
      </c>
      <c r="G211">
        <f t="shared" si="53"/>
        <v>1048.4903684699532</v>
      </c>
      <c r="H211" t="s">
        <v>59</v>
      </c>
      <c r="I211">
        <v>2184</v>
      </c>
      <c r="J211">
        <v>1367</v>
      </c>
      <c r="K211">
        <v>36</v>
      </c>
      <c r="L211">
        <v>17</v>
      </c>
      <c r="M211">
        <v>2</v>
      </c>
      <c r="N211">
        <f t="shared" si="51"/>
        <v>55</v>
      </c>
      <c r="O211">
        <v>0</v>
      </c>
      <c r="P211" t="str">
        <f t="shared" si="52"/>
        <v>Nem</v>
      </c>
      <c r="W211" t="b">
        <f t="shared" si="44"/>
        <v>0</v>
      </c>
      <c r="X211" t="b">
        <f t="shared" si="45"/>
        <v>0</v>
      </c>
      <c r="Y211" t="b">
        <f t="shared" si="46"/>
        <v>0</v>
      </c>
      <c r="Z211" t="b">
        <f t="shared" si="47"/>
        <v>0</v>
      </c>
      <c r="AA211" t="b">
        <f t="shared" si="48"/>
        <v>0</v>
      </c>
      <c r="AB211" t="str">
        <f t="shared" si="54"/>
        <v>nem</v>
      </c>
    </row>
    <row r="212" spans="1:28" x14ac:dyDescent="0.25">
      <c r="A212" t="s">
        <v>259</v>
      </c>
      <c r="B212" t="s">
        <v>43</v>
      </c>
      <c r="C212">
        <v>43.083576200000003</v>
      </c>
      <c r="D212">
        <f t="shared" si="49"/>
        <v>0.75195025822386707</v>
      </c>
      <c r="E212">
        <v>6.2129000000000004E-3</v>
      </c>
      <c r="F212">
        <f t="shared" si="50"/>
        <v>1.084355610971557E-4</v>
      </c>
      <c r="G212">
        <f t="shared" si="53"/>
        <v>1563.0663509944361</v>
      </c>
      <c r="H212" t="s">
        <v>23</v>
      </c>
      <c r="I212">
        <v>2376</v>
      </c>
      <c r="J212">
        <v>1600</v>
      </c>
      <c r="K212">
        <v>22</v>
      </c>
      <c r="L212">
        <v>23</v>
      </c>
      <c r="M212">
        <v>10</v>
      </c>
      <c r="N212">
        <f t="shared" si="51"/>
        <v>55</v>
      </c>
      <c r="O212">
        <v>0</v>
      </c>
      <c r="P212" t="str">
        <f t="shared" si="52"/>
        <v>Nem</v>
      </c>
      <c r="W212" t="b">
        <f t="shared" si="44"/>
        <v>0</v>
      </c>
      <c r="X212" t="b">
        <f t="shared" si="45"/>
        <v>0</v>
      </c>
      <c r="Y212" t="b">
        <f t="shared" si="46"/>
        <v>0</v>
      </c>
      <c r="Z212" t="b">
        <f t="shared" si="47"/>
        <v>0</v>
      </c>
      <c r="AA212" t="b">
        <f t="shared" si="48"/>
        <v>0</v>
      </c>
      <c r="AB212" t="str">
        <f t="shared" si="54"/>
        <v>nem</v>
      </c>
    </row>
    <row r="213" spans="1:28" x14ac:dyDescent="0.25">
      <c r="A213" t="s">
        <v>260</v>
      </c>
      <c r="B213" t="s">
        <v>261</v>
      </c>
      <c r="C213">
        <v>43.268988499999999</v>
      </c>
      <c r="D213">
        <f t="shared" si="49"/>
        <v>0.75518631333256248</v>
      </c>
      <c r="E213">
        <v>20.826740999999998</v>
      </c>
      <c r="F213">
        <f t="shared" si="50"/>
        <v>0.36349520291009635</v>
      </c>
      <c r="G213">
        <f t="shared" si="53"/>
        <v>490.45989322328728</v>
      </c>
      <c r="H213" t="s">
        <v>27</v>
      </c>
      <c r="I213">
        <v>2017</v>
      </c>
      <c r="J213">
        <v>1057</v>
      </c>
      <c r="K213">
        <v>30</v>
      </c>
      <c r="L213">
        <v>19</v>
      </c>
      <c r="M213">
        <v>6</v>
      </c>
      <c r="N213">
        <f t="shared" si="51"/>
        <v>55</v>
      </c>
      <c r="O213">
        <v>0</v>
      </c>
      <c r="P213" t="str">
        <f t="shared" si="52"/>
        <v>Nem</v>
      </c>
      <c r="W213" t="b">
        <f t="shared" si="44"/>
        <v>0</v>
      </c>
      <c r="X213" t="b">
        <f t="shared" si="45"/>
        <v>0</v>
      </c>
      <c r="Y213" t="b">
        <f t="shared" si="46"/>
        <v>0</v>
      </c>
      <c r="Z213" t="b">
        <f t="shared" si="47"/>
        <v>0</v>
      </c>
      <c r="AA213" t="b">
        <f t="shared" si="48"/>
        <v>0</v>
      </c>
      <c r="AB213" t="str">
        <f t="shared" si="54"/>
        <v>nem</v>
      </c>
    </row>
    <row r="214" spans="1:28" x14ac:dyDescent="0.25">
      <c r="A214" t="s">
        <v>262</v>
      </c>
      <c r="B214" t="s">
        <v>43</v>
      </c>
      <c r="C214">
        <v>45.227541500000001</v>
      </c>
      <c r="D214">
        <f t="shared" si="49"/>
        <v>0.78936951175737502</v>
      </c>
      <c r="E214">
        <v>6.7413987999999998</v>
      </c>
      <c r="F214">
        <f t="shared" si="50"/>
        <v>0.11765960524999471</v>
      </c>
      <c r="G214">
        <f t="shared" si="53"/>
        <v>975.7533587485832</v>
      </c>
      <c r="H214" t="s">
        <v>27</v>
      </c>
      <c r="I214">
        <v>2750</v>
      </c>
      <c r="J214">
        <v>1500</v>
      </c>
      <c r="K214">
        <v>30</v>
      </c>
      <c r="L214">
        <v>22</v>
      </c>
      <c r="M214">
        <v>3</v>
      </c>
      <c r="N214">
        <f t="shared" si="51"/>
        <v>55</v>
      </c>
      <c r="O214">
        <v>0</v>
      </c>
      <c r="P214" t="str">
        <f t="shared" si="52"/>
        <v>Nem</v>
      </c>
      <c r="W214" t="b">
        <f t="shared" si="44"/>
        <v>0</v>
      </c>
      <c r="X214" t="b">
        <f t="shared" si="45"/>
        <v>0</v>
      </c>
      <c r="Y214" t="b">
        <f t="shared" si="46"/>
        <v>0</v>
      </c>
      <c r="Z214" t="b">
        <f t="shared" si="47"/>
        <v>0</v>
      </c>
      <c r="AA214" t="b">
        <f t="shared" si="48"/>
        <v>0</v>
      </c>
      <c r="AB214" t="str">
        <f t="shared" si="54"/>
        <v>nem</v>
      </c>
    </row>
    <row r="215" spans="1:28" x14ac:dyDescent="0.25">
      <c r="A215" t="s">
        <v>263</v>
      </c>
      <c r="B215" t="s">
        <v>37</v>
      </c>
      <c r="C215">
        <v>46.650481499999998</v>
      </c>
      <c r="D215">
        <f t="shared" si="49"/>
        <v>0.81420449981570309</v>
      </c>
      <c r="E215">
        <v>8.0650732789999999</v>
      </c>
      <c r="F215">
        <f t="shared" si="50"/>
        <v>0.14076208313316524</v>
      </c>
      <c r="G215">
        <f t="shared" si="53"/>
        <v>835.75526961477237</v>
      </c>
      <c r="H215" t="s">
        <v>59</v>
      </c>
      <c r="I215">
        <v>2501</v>
      </c>
      <c r="J215">
        <v>1050</v>
      </c>
      <c r="K215">
        <v>30</v>
      </c>
      <c r="L215">
        <v>15</v>
      </c>
      <c r="M215">
        <v>8</v>
      </c>
      <c r="N215">
        <f t="shared" si="51"/>
        <v>53</v>
      </c>
      <c r="O215">
        <v>6</v>
      </c>
      <c r="P215" t="str">
        <f t="shared" si="52"/>
        <v>Nem</v>
      </c>
      <c r="W215" t="b">
        <f t="shared" si="44"/>
        <v>0</v>
      </c>
      <c r="X215" t="b">
        <f t="shared" si="45"/>
        <v>0</v>
      </c>
      <c r="Y215" t="b">
        <f t="shared" si="46"/>
        <v>0</v>
      </c>
      <c r="Z215" t="b">
        <f t="shared" si="47"/>
        <v>0</v>
      </c>
      <c r="AA215" t="b">
        <f t="shared" si="48"/>
        <v>0</v>
      </c>
      <c r="AB215" t="str">
        <f t="shared" si="54"/>
        <v>nem</v>
      </c>
    </row>
    <row r="216" spans="1:28" x14ac:dyDescent="0.25">
      <c r="A216" t="s">
        <v>264</v>
      </c>
      <c r="B216" t="s">
        <v>37</v>
      </c>
      <c r="C216">
        <v>46.822165699999999</v>
      </c>
      <c r="D216">
        <f t="shared" si="49"/>
        <v>0.81720095437935547</v>
      </c>
      <c r="E216">
        <v>8.0349310999999997</v>
      </c>
      <c r="F216">
        <f t="shared" si="50"/>
        <v>0.14023600286588975</v>
      </c>
      <c r="G216">
        <f t="shared" si="53"/>
        <v>834.75977464478171</v>
      </c>
      <c r="H216" t="s">
        <v>27</v>
      </c>
      <c r="I216">
        <v>2350</v>
      </c>
      <c r="J216">
        <v>1110</v>
      </c>
      <c r="K216">
        <v>30</v>
      </c>
      <c r="L216">
        <v>15</v>
      </c>
      <c r="M216">
        <v>8</v>
      </c>
      <c r="N216">
        <f t="shared" si="51"/>
        <v>53</v>
      </c>
      <c r="O216">
        <v>0</v>
      </c>
      <c r="P216" t="str">
        <f t="shared" si="52"/>
        <v>Nem</v>
      </c>
      <c r="W216" t="b">
        <f t="shared" si="44"/>
        <v>0</v>
      </c>
      <c r="X216" t="b">
        <f t="shared" si="45"/>
        <v>0</v>
      </c>
      <c r="Y216" t="b">
        <f t="shared" si="46"/>
        <v>0</v>
      </c>
      <c r="Z216" t="b">
        <f t="shared" si="47"/>
        <v>0</v>
      </c>
      <c r="AA216" t="b">
        <f t="shared" si="48"/>
        <v>0</v>
      </c>
      <c r="AB216" t="str">
        <f t="shared" si="54"/>
        <v>nem</v>
      </c>
    </row>
    <row r="217" spans="1:28" x14ac:dyDescent="0.25">
      <c r="A217" t="s">
        <v>265</v>
      </c>
      <c r="B217" t="s">
        <v>40</v>
      </c>
      <c r="C217">
        <v>44.185330499999999</v>
      </c>
      <c r="D217">
        <f t="shared" si="49"/>
        <v>0.77117949830687238</v>
      </c>
      <c r="E217">
        <v>7.581660887</v>
      </c>
      <c r="F217">
        <f t="shared" si="50"/>
        <v>0.13232494524782376</v>
      </c>
      <c r="G217">
        <f t="shared" si="53"/>
        <v>959.8295434423294</v>
      </c>
      <c r="H217" t="s">
        <v>27</v>
      </c>
      <c r="I217">
        <v>2060</v>
      </c>
      <c r="J217">
        <v>1046</v>
      </c>
      <c r="K217">
        <v>11</v>
      </c>
      <c r="L217">
        <v>35</v>
      </c>
      <c r="M217">
        <v>5</v>
      </c>
      <c r="N217">
        <f t="shared" si="51"/>
        <v>51</v>
      </c>
      <c r="O217">
        <v>0</v>
      </c>
      <c r="P217" t="str">
        <f t="shared" si="52"/>
        <v>Nem</v>
      </c>
      <c r="W217" t="b">
        <f t="shared" si="44"/>
        <v>0</v>
      </c>
      <c r="X217" t="b">
        <f t="shared" si="45"/>
        <v>0</v>
      </c>
      <c r="Y217" t="b">
        <f t="shared" si="46"/>
        <v>0</v>
      </c>
      <c r="Z217" t="b">
        <f t="shared" si="47"/>
        <v>0</v>
      </c>
      <c r="AA217" t="b">
        <f t="shared" si="48"/>
        <v>0</v>
      </c>
      <c r="AB217" t="str">
        <f t="shared" si="54"/>
        <v>nem</v>
      </c>
    </row>
    <row r="218" spans="1:28" x14ac:dyDescent="0.25">
      <c r="A218" t="s">
        <v>266</v>
      </c>
      <c r="B218" t="s">
        <v>40</v>
      </c>
      <c r="C218">
        <v>46.826668849999997</v>
      </c>
      <c r="D218">
        <f t="shared" si="49"/>
        <v>0.81727954917356671</v>
      </c>
      <c r="E218">
        <v>11.664520700000001</v>
      </c>
      <c r="F218">
        <f t="shared" si="50"/>
        <v>0.20358429188203375</v>
      </c>
      <c r="G218">
        <f t="shared" si="53"/>
        <v>562.38784057316047</v>
      </c>
      <c r="H218" t="s">
        <v>27</v>
      </c>
      <c r="I218">
        <v>1354</v>
      </c>
      <c r="J218">
        <v>772</v>
      </c>
      <c r="K218">
        <v>17</v>
      </c>
      <c r="L218">
        <v>25</v>
      </c>
      <c r="M218">
        <v>9</v>
      </c>
      <c r="N218">
        <f t="shared" si="51"/>
        <v>51</v>
      </c>
      <c r="O218">
        <v>6</v>
      </c>
      <c r="P218" t="str">
        <f t="shared" si="52"/>
        <v>Nem</v>
      </c>
      <c r="W218" t="b">
        <f t="shared" si="44"/>
        <v>0</v>
      </c>
      <c r="X218" t="b">
        <f t="shared" si="45"/>
        <v>0</v>
      </c>
      <c r="Y218" t="b">
        <f t="shared" si="46"/>
        <v>0</v>
      </c>
      <c r="Z218" t="b">
        <f t="shared" si="47"/>
        <v>0</v>
      </c>
      <c r="AA218" t="b">
        <f t="shared" si="48"/>
        <v>0</v>
      </c>
      <c r="AB218" t="str">
        <f t="shared" si="54"/>
        <v>nem</v>
      </c>
    </row>
    <row r="219" spans="1:28" x14ac:dyDescent="0.25">
      <c r="A219" t="s">
        <v>267</v>
      </c>
      <c r="B219" t="s">
        <v>37</v>
      </c>
      <c r="C219">
        <v>46.557444250000003</v>
      </c>
      <c r="D219">
        <f t="shared" si="49"/>
        <v>0.8125806934762021</v>
      </c>
      <c r="E219">
        <v>7.8924324810000002</v>
      </c>
      <c r="F219">
        <f t="shared" si="50"/>
        <v>0.1377489327847948</v>
      </c>
      <c r="G219">
        <f t="shared" si="53"/>
        <v>850.64856743433825</v>
      </c>
      <c r="H219" t="s">
        <v>27</v>
      </c>
      <c r="I219">
        <v>2970</v>
      </c>
      <c r="J219">
        <v>796</v>
      </c>
      <c r="K219">
        <v>19</v>
      </c>
      <c r="L219">
        <v>23</v>
      </c>
      <c r="M219">
        <v>9</v>
      </c>
      <c r="N219">
        <f t="shared" si="51"/>
        <v>51</v>
      </c>
      <c r="O219">
        <v>15</v>
      </c>
      <c r="P219" t="str">
        <f t="shared" si="52"/>
        <v>Nem</v>
      </c>
      <c r="W219" t="b">
        <f t="shared" si="44"/>
        <v>0</v>
      </c>
      <c r="X219" t="b">
        <f t="shared" si="45"/>
        <v>0</v>
      </c>
      <c r="Y219" t="b">
        <f t="shared" si="46"/>
        <v>0</v>
      </c>
      <c r="Z219" t="b">
        <f t="shared" si="47"/>
        <v>0</v>
      </c>
      <c r="AA219" t="b">
        <f t="shared" si="48"/>
        <v>0</v>
      </c>
      <c r="AB219" t="str">
        <f t="shared" si="54"/>
        <v>nem</v>
      </c>
    </row>
    <row r="220" spans="1:28" x14ac:dyDescent="0.25">
      <c r="A220" t="s">
        <v>268</v>
      </c>
      <c r="B220" t="s">
        <v>26</v>
      </c>
      <c r="C220">
        <v>47.514918399999999</v>
      </c>
      <c r="D220">
        <f t="shared" si="49"/>
        <v>0.82929176989643605</v>
      </c>
      <c r="E220">
        <v>13.4498696</v>
      </c>
      <c r="F220">
        <f t="shared" si="50"/>
        <v>0.23474450848389272</v>
      </c>
      <c r="G220">
        <f t="shared" si="53"/>
        <v>419.82298218225162</v>
      </c>
      <c r="H220" t="s">
        <v>27</v>
      </c>
      <c r="I220">
        <v>1620</v>
      </c>
      <c r="J220">
        <v>780</v>
      </c>
      <c r="K220">
        <v>15</v>
      </c>
      <c r="L220">
        <v>33</v>
      </c>
      <c r="M220">
        <v>3</v>
      </c>
      <c r="N220">
        <f t="shared" si="51"/>
        <v>51</v>
      </c>
      <c r="O220">
        <v>4</v>
      </c>
      <c r="P220" t="str">
        <f t="shared" si="52"/>
        <v>Nem</v>
      </c>
      <c r="W220" t="b">
        <f t="shared" si="44"/>
        <v>0</v>
      </c>
      <c r="X220" t="b">
        <f t="shared" si="45"/>
        <v>0</v>
      </c>
      <c r="Y220" t="b">
        <f t="shared" si="46"/>
        <v>0</v>
      </c>
      <c r="Z220" t="b">
        <f t="shared" si="47"/>
        <v>0</v>
      </c>
      <c r="AA220" t="b">
        <f t="shared" si="48"/>
        <v>0</v>
      </c>
      <c r="AB220" t="str">
        <f t="shared" si="54"/>
        <v>nem</v>
      </c>
    </row>
    <row r="221" spans="1:28" x14ac:dyDescent="0.25">
      <c r="A221" t="s">
        <v>269</v>
      </c>
      <c r="B221" t="s">
        <v>40</v>
      </c>
      <c r="C221">
        <v>45.769944099999996</v>
      </c>
      <c r="D221">
        <f t="shared" si="49"/>
        <v>0.79883622299875268</v>
      </c>
      <c r="E221">
        <v>8.0810802000000006</v>
      </c>
      <c r="F221">
        <f t="shared" si="50"/>
        <v>0.14104145660772188</v>
      </c>
      <c r="G221">
        <f t="shared" si="53"/>
        <v>857.74607125543491</v>
      </c>
      <c r="H221" t="s">
        <v>23</v>
      </c>
      <c r="I221">
        <v>1540</v>
      </c>
      <c r="J221">
        <v>570</v>
      </c>
      <c r="K221">
        <v>8</v>
      </c>
      <c r="L221">
        <v>35</v>
      </c>
      <c r="M221">
        <v>6</v>
      </c>
      <c r="N221">
        <f t="shared" si="51"/>
        <v>49</v>
      </c>
      <c r="O221">
        <v>0</v>
      </c>
      <c r="P221" t="str">
        <f t="shared" si="52"/>
        <v>Nem</v>
      </c>
      <c r="W221" t="b">
        <f t="shared" si="44"/>
        <v>0</v>
      </c>
      <c r="X221" t="b">
        <f t="shared" si="45"/>
        <v>0</v>
      </c>
      <c r="Y221" t="b">
        <f t="shared" si="46"/>
        <v>0</v>
      </c>
      <c r="Z221" t="b">
        <f t="shared" si="47"/>
        <v>0</v>
      </c>
      <c r="AA221" t="b">
        <f t="shared" si="48"/>
        <v>0</v>
      </c>
      <c r="AB221" t="str">
        <f t="shared" si="54"/>
        <v>nem</v>
      </c>
    </row>
    <row r="222" spans="1:28" x14ac:dyDescent="0.25">
      <c r="A222" t="s">
        <v>270</v>
      </c>
      <c r="B222" t="s">
        <v>37</v>
      </c>
      <c r="C222">
        <v>46.770049700000001</v>
      </c>
      <c r="D222">
        <f t="shared" si="49"/>
        <v>0.81629135858638624</v>
      </c>
      <c r="E222">
        <v>9.0673840000000006</v>
      </c>
      <c r="F222">
        <f t="shared" si="50"/>
        <v>0.15825570534265354</v>
      </c>
      <c r="G222">
        <f t="shared" si="53"/>
        <v>758.18746801381849</v>
      </c>
      <c r="H222" t="s">
        <v>59</v>
      </c>
      <c r="I222">
        <v>2418</v>
      </c>
      <c r="J222">
        <v>1110</v>
      </c>
      <c r="K222">
        <v>13</v>
      </c>
      <c r="L222">
        <v>33</v>
      </c>
      <c r="M222">
        <v>3</v>
      </c>
      <c r="N222">
        <f t="shared" si="51"/>
        <v>49</v>
      </c>
      <c r="O222">
        <v>7</v>
      </c>
      <c r="P222" t="str">
        <f t="shared" si="52"/>
        <v>Nem</v>
      </c>
      <c r="W222" t="b">
        <f t="shared" si="44"/>
        <v>0</v>
      </c>
      <c r="X222" t="b">
        <f t="shared" si="45"/>
        <v>0</v>
      </c>
      <c r="Y222" t="b">
        <f t="shared" si="46"/>
        <v>0</v>
      </c>
      <c r="Z222" t="b">
        <f t="shared" si="47"/>
        <v>0</v>
      </c>
      <c r="AA222" t="b">
        <f t="shared" si="48"/>
        <v>0</v>
      </c>
      <c r="AB222" t="str">
        <f t="shared" si="54"/>
        <v>nem</v>
      </c>
    </row>
    <row r="223" spans="1:28" x14ac:dyDescent="0.25">
      <c r="A223" t="s">
        <v>271</v>
      </c>
      <c r="B223" t="s">
        <v>40</v>
      </c>
      <c r="C223">
        <v>46.152697000000003</v>
      </c>
      <c r="D223">
        <f t="shared" si="49"/>
        <v>0.80551652132530949</v>
      </c>
      <c r="E223">
        <v>10.151655999999999</v>
      </c>
      <c r="F223">
        <f t="shared" si="50"/>
        <v>0.17717982172983746</v>
      </c>
      <c r="G223">
        <f t="shared" si="53"/>
        <v>692.1899869200339</v>
      </c>
      <c r="H223" t="s">
        <v>21</v>
      </c>
      <c r="I223">
        <v>2270</v>
      </c>
      <c r="J223">
        <v>1162</v>
      </c>
      <c r="K223">
        <v>28</v>
      </c>
      <c r="L223">
        <v>14</v>
      </c>
      <c r="M223">
        <v>7</v>
      </c>
      <c r="N223">
        <f t="shared" si="51"/>
        <v>49</v>
      </c>
      <c r="O223">
        <v>0</v>
      </c>
      <c r="P223" t="str">
        <f t="shared" si="52"/>
        <v>Nem</v>
      </c>
      <c r="W223" t="b">
        <f t="shared" si="44"/>
        <v>0</v>
      </c>
      <c r="X223" t="b">
        <f t="shared" si="45"/>
        <v>0</v>
      </c>
      <c r="Y223" t="b">
        <f t="shared" si="46"/>
        <v>0</v>
      </c>
      <c r="Z223" t="b">
        <f t="shared" si="47"/>
        <v>0</v>
      </c>
      <c r="AA223" t="b">
        <f t="shared" si="48"/>
        <v>0</v>
      </c>
      <c r="AB223" t="str">
        <f t="shared" si="54"/>
        <v>nem</v>
      </c>
    </row>
    <row r="224" spans="1:28" x14ac:dyDescent="0.25">
      <c r="A224" t="s">
        <v>272</v>
      </c>
      <c r="B224" t="s">
        <v>40</v>
      </c>
      <c r="C224">
        <v>46.439757399999998</v>
      </c>
      <c r="D224">
        <f t="shared" si="49"/>
        <v>0.81052667045740123</v>
      </c>
      <c r="E224">
        <v>10.392453100000001</v>
      </c>
      <c r="F224">
        <f t="shared" si="50"/>
        <v>0.18138252395409152</v>
      </c>
      <c r="G224">
        <f t="shared" si="53"/>
        <v>666.28186096600757</v>
      </c>
      <c r="H224" t="s">
        <v>23</v>
      </c>
      <c r="I224">
        <v>3012</v>
      </c>
      <c r="J224">
        <v>1225</v>
      </c>
      <c r="K224">
        <v>14</v>
      </c>
      <c r="L224">
        <v>34</v>
      </c>
      <c r="M224">
        <v>2</v>
      </c>
      <c r="N224">
        <f t="shared" si="51"/>
        <v>50</v>
      </c>
      <c r="O224">
        <v>8</v>
      </c>
      <c r="P224" t="str">
        <f t="shared" si="52"/>
        <v>Nem</v>
      </c>
      <c r="W224" t="b">
        <f t="shared" si="44"/>
        <v>0</v>
      </c>
      <c r="X224" t="b">
        <f t="shared" si="45"/>
        <v>0</v>
      </c>
      <c r="Y224" t="b">
        <f t="shared" si="46"/>
        <v>0</v>
      </c>
      <c r="Z224" t="b">
        <f t="shared" si="47"/>
        <v>0</v>
      </c>
      <c r="AA224" t="b">
        <f t="shared" si="48"/>
        <v>0</v>
      </c>
      <c r="AB224" t="str">
        <f t="shared" si="54"/>
        <v>nem</v>
      </c>
    </row>
    <row r="225" spans="1:28" x14ac:dyDescent="0.25">
      <c r="A225" t="s">
        <v>273</v>
      </c>
      <c r="B225" t="s">
        <v>37</v>
      </c>
      <c r="C225">
        <v>46.665202200000003</v>
      </c>
      <c r="D225">
        <f t="shared" si="49"/>
        <v>0.81446142449890147</v>
      </c>
      <c r="E225">
        <v>8.7049054790000007</v>
      </c>
      <c r="F225">
        <f t="shared" si="50"/>
        <v>0.15192926168344412</v>
      </c>
      <c r="G225">
        <f t="shared" si="53"/>
        <v>787.44237948211833</v>
      </c>
      <c r="H225" t="s">
        <v>23</v>
      </c>
      <c r="I225">
        <v>2300</v>
      </c>
      <c r="J225">
        <v>1500</v>
      </c>
      <c r="K225">
        <v>10</v>
      </c>
      <c r="L225">
        <v>35</v>
      </c>
      <c r="M225">
        <v>5</v>
      </c>
      <c r="N225">
        <f t="shared" si="51"/>
        <v>50</v>
      </c>
      <c r="O225">
        <v>3</v>
      </c>
      <c r="P225" t="str">
        <f t="shared" si="52"/>
        <v>Nem</v>
      </c>
      <c r="W225" t="b">
        <f t="shared" ref="W225:W288" si="55">IFERROR(SEARCH("Jún",H225), FALSE)</f>
        <v>0</v>
      </c>
      <c r="X225" t="b">
        <f t="shared" ref="X225:X288" si="56">IFERROR(SEARCH("Júl",H225), FALSE)</f>
        <v>0</v>
      </c>
      <c r="Y225" t="b">
        <f t="shared" ref="Y225:Y288" si="57">IFERROR(SEARCH("Aug",H225), FALSE)</f>
        <v>0</v>
      </c>
      <c r="Z225" t="b">
        <f t="shared" ref="Z225:Z288" si="58">IFERROR(SEARCH("Egész évben",H225), FALSE)</f>
        <v>0</v>
      </c>
      <c r="AA225" t="b">
        <f t="shared" ref="AA225:AA288" si="59">OR(W225,X225,Y225,Z225)</f>
        <v>0</v>
      </c>
      <c r="AB225" t="str">
        <f t="shared" si="54"/>
        <v>nem</v>
      </c>
    </row>
    <row r="226" spans="1:28" x14ac:dyDescent="0.25">
      <c r="A226" t="s">
        <v>274</v>
      </c>
      <c r="B226" t="s">
        <v>26</v>
      </c>
      <c r="C226">
        <v>47.121760399999999</v>
      </c>
      <c r="D226">
        <f t="shared" si="49"/>
        <v>0.82242986831588016</v>
      </c>
      <c r="E226">
        <v>13.64406919</v>
      </c>
      <c r="F226">
        <f t="shared" si="50"/>
        <v>0.23813393073541578</v>
      </c>
      <c r="G226">
        <f t="shared" si="53"/>
        <v>408.89823782717934</v>
      </c>
      <c r="H226" t="s">
        <v>27</v>
      </c>
      <c r="I226">
        <v>2400</v>
      </c>
      <c r="J226">
        <v>1095</v>
      </c>
      <c r="K226">
        <v>26</v>
      </c>
      <c r="L226">
        <v>17</v>
      </c>
      <c r="M226">
        <v>7</v>
      </c>
      <c r="N226">
        <f t="shared" si="51"/>
        <v>50</v>
      </c>
      <c r="O226">
        <v>8</v>
      </c>
      <c r="P226" t="str">
        <f t="shared" si="52"/>
        <v>Nem</v>
      </c>
      <c r="W226" t="b">
        <f t="shared" si="55"/>
        <v>0</v>
      </c>
      <c r="X226" t="b">
        <f t="shared" si="56"/>
        <v>0</v>
      </c>
      <c r="Y226" t="b">
        <f t="shared" si="57"/>
        <v>0</v>
      </c>
      <c r="Z226" t="b">
        <f t="shared" si="58"/>
        <v>0</v>
      </c>
      <c r="AA226" t="b">
        <f t="shared" si="59"/>
        <v>0</v>
      </c>
      <c r="AB226" t="str">
        <f t="shared" si="54"/>
        <v>nem</v>
      </c>
    </row>
    <row r="227" spans="1:28" x14ac:dyDescent="0.25">
      <c r="A227" t="s">
        <v>275</v>
      </c>
      <c r="B227" t="s">
        <v>43</v>
      </c>
      <c r="C227">
        <v>46.2511455</v>
      </c>
      <c r="D227">
        <f t="shared" si="49"/>
        <v>0.80723477179395897</v>
      </c>
      <c r="E227">
        <v>6.5178066719999999</v>
      </c>
      <c r="F227">
        <f t="shared" si="50"/>
        <v>0.11375718643485411</v>
      </c>
      <c r="G227">
        <f t="shared" si="53"/>
        <v>960.82318635932063</v>
      </c>
      <c r="H227" t="s">
        <v>59</v>
      </c>
      <c r="I227">
        <v>1610</v>
      </c>
      <c r="J227">
        <v>923</v>
      </c>
      <c r="K227">
        <v>30</v>
      </c>
      <c r="L227">
        <v>17</v>
      </c>
      <c r="M227">
        <v>3</v>
      </c>
      <c r="N227">
        <f t="shared" si="51"/>
        <v>50</v>
      </c>
      <c r="O227">
        <v>0</v>
      </c>
      <c r="P227" t="str">
        <f t="shared" si="52"/>
        <v>Nem</v>
      </c>
      <c r="W227" t="b">
        <f t="shared" si="55"/>
        <v>0</v>
      </c>
      <c r="X227" t="b">
        <f t="shared" si="56"/>
        <v>0</v>
      </c>
      <c r="Y227" t="b">
        <f t="shared" si="57"/>
        <v>0</v>
      </c>
      <c r="Z227" t="b">
        <f t="shared" si="58"/>
        <v>0</v>
      </c>
      <c r="AA227" t="b">
        <f t="shared" si="59"/>
        <v>0</v>
      </c>
      <c r="AB227" t="str">
        <f t="shared" si="54"/>
        <v>nem</v>
      </c>
    </row>
    <row r="228" spans="1:28" x14ac:dyDescent="0.25">
      <c r="A228" t="s">
        <v>276</v>
      </c>
      <c r="B228" t="s">
        <v>40</v>
      </c>
      <c r="C228">
        <v>45.016217099999999</v>
      </c>
      <c r="D228">
        <f t="shared" si="49"/>
        <v>0.78568120518757345</v>
      </c>
      <c r="E228">
        <v>6.9424530999999998</v>
      </c>
      <c r="F228">
        <f t="shared" si="50"/>
        <v>0.12116866476028713</v>
      </c>
      <c r="G228">
        <f t="shared" si="53"/>
        <v>969.02002523232852</v>
      </c>
      <c r="H228" t="s">
        <v>27</v>
      </c>
      <c r="I228">
        <v>2700</v>
      </c>
      <c r="J228">
        <v>1335</v>
      </c>
      <c r="K228">
        <v>14</v>
      </c>
      <c r="L228">
        <v>32</v>
      </c>
      <c r="M228">
        <v>4</v>
      </c>
      <c r="N228">
        <f t="shared" si="51"/>
        <v>50</v>
      </c>
      <c r="O228">
        <v>0</v>
      </c>
      <c r="P228" t="str">
        <f t="shared" si="52"/>
        <v>Nem</v>
      </c>
      <c r="W228" t="b">
        <f t="shared" si="55"/>
        <v>0</v>
      </c>
      <c r="X228" t="b">
        <f t="shared" si="56"/>
        <v>0</v>
      </c>
      <c r="Y228" t="b">
        <f t="shared" si="57"/>
        <v>0</v>
      </c>
      <c r="Z228" t="b">
        <f t="shared" si="58"/>
        <v>0</v>
      </c>
      <c r="AA228" t="b">
        <f t="shared" si="59"/>
        <v>0</v>
      </c>
      <c r="AB228" t="str">
        <f t="shared" si="54"/>
        <v>nem</v>
      </c>
    </row>
    <row r="229" spans="1:28" x14ac:dyDescent="0.25">
      <c r="A229" t="s">
        <v>277</v>
      </c>
      <c r="B229" t="s">
        <v>43</v>
      </c>
      <c r="C229">
        <v>42.548887800000003</v>
      </c>
      <c r="D229">
        <f t="shared" si="49"/>
        <v>0.74261818517164657</v>
      </c>
      <c r="E229">
        <v>1.8334619999999999</v>
      </c>
      <c r="F229">
        <f t="shared" si="50"/>
        <v>3.1999948610200273E-2</v>
      </c>
      <c r="G229">
        <f t="shared" si="53"/>
        <v>1456.1114039913805</v>
      </c>
      <c r="H229" t="s">
        <v>278</v>
      </c>
      <c r="I229">
        <v>2471</v>
      </c>
      <c r="J229">
        <v>1600</v>
      </c>
      <c r="K229">
        <v>21</v>
      </c>
      <c r="L229">
        <v>20</v>
      </c>
      <c r="M229">
        <v>9</v>
      </c>
      <c r="N229">
        <f t="shared" si="51"/>
        <v>50</v>
      </c>
      <c r="O229">
        <v>0</v>
      </c>
      <c r="P229" t="str">
        <f t="shared" si="52"/>
        <v>Nem</v>
      </c>
      <c r="W229" t="b">
        <f t="shared" si="55"/>
        <v>0</v>
      </c>
      <c r="X229" t="b">
        <f t="shared" si="56"/>
        <v>0</v>
      </c>
      <c r="Y229" t="b">
        <f t="shared" si="57"/>
        <v>0</v>
      </c>
      <c r="Z229" t="b">
        <f t="shared" si="58"/>
        <v>0</v>
      </c>
      <c r="AA229" t="b">
        <f t="shared" si="59"/>
        <v>0</v>
      </c>
      <c r="AB229" t="str">
        <f t="shared" si="54"/>
        <v>nem</v>
      </c>
    </row>
    <row r="230" spans="1:28" x14ac:dyDescent="0.25">
      <c r="A230" t="s">
        <v>279</v>
      </c>
      <c r="B230" t="s">
        <v>37</v>
      </c>
      <c r="C230">
        <v>47.021708099999998</v>
      </c>
      <c r="D230">
        <f t="shared" si="49"/>
        <v>0.820683626256687</v>
      </c>
      <c r="E230">
        <v>8.723539208</v>
      </c>
      <c r="F230">
        <f t="shared" si="50"/>
        <v>0.15225448160641847</v>
      </c>
      <c r="G230">
        <f t="shared" si="53"/>
        <v>779.77355949165212</v>
      </c>
      <c r="H230" t="s">
        <v>59</v>
      </c>
      <c r="I230">
        <v>1070</v>
      </c>
      <c r="J230">
        <v>573</v>
      </c>
      <c r="K230">
        <v>18</v>
      </c>
      <c r="L230">
        <v>31</v>
      </c>
      <c r="M230">
        <v>1</v>
      </c>
      <c r="N230">
        <f t="shared" si="51"/>
        <v>50</v>
      </c>
      <c r="O230">
        <v>0</v>
      </c>
      <c r="P230" t="str">
        <f t="shared" si="52"/>
        <v>Nem</v>
      </c>
      <c r="W230" t="b">
        <f t="shared" si="55"/>
        <v>0</v>
      </c>
      <c r="X230" t="b">
        <f t="shared" si="56"/>
        <v>0</v>
      </c>
      <c r="Y230" t="b">
        <f t="shared" si="57"/>
        <v>0</v>
      </c>
      <c r="Z230" t="b">
        <f t="shared" si="58"/>
        <v>0</v>
      </c>
      <c r="AA230" t="b">
        <f t="shared" si="59"/>
        <v>0</v>
      </c>
      <c r="AB230" t="str">
        <f t="shared" si="54"/>
        <v>nem</v>
      </c>
    </row>
    <row r="231" spans="1:28" x14ac:dyDescent="0.25">
      <c r="A231" t="s">
        <v>280</v>
      </c>
      <c r="B231" t="s">
        <v>140</v>
      </c>
      <c r="C231">
        <v>42.788888649999997</v>
      </c>
      <c r="D231">
        <f t="shared" si="49"/>
        <v>0.74680699021173147</v>
      </c>
      <c r="E231">
        <v>-0.52873444999999997</v>
      </c>
      <c r="F231">
        <f t="shared" si="50"/>
        <v>-9.228157021221331E-3</v>
      </c>
      <c r="G231">
        <f t="shared" si="53"/>
        <v>1616.4339888508864</v>
      </c>
      <c r="H231" t="s">
        <v>27</v>
      </c>
      <c r="I231">
        <v>2236</v>
      </c>
      <c r="J231">
        <v>1514</v>
      </c>
      <c r="K231">
        <v>15</v>
      </c>
      <c r="L231">
        <v>18</v>
      </c>
      <c r="M231">
        <v>15</v>
      </c>
      <c r="N231">
        <f t="shared" si="51"/>
        <v>48</v>
      </c>
      <c r="O231">
        <v>0</v>
      </c>
      <c r="P231" t="str">
        <f t="shared" si="52"/>
        <v>Nem</v>
      </c>
      <c r="W231" t="b">
        <f t="shared" si="55"/>
        <v>0</v>
      </c>
      <c r="X231" t="b">
        <f t="shared" si="56"/>
        <v>0</v>
      </c>
      <c r="Y231" t="b">
        <f t="shared" si="57"/>
        <v>0</v>
      </c>
      <c r="Z231" t="b">
        <f t="shared" si="58"/>
        <v>0</v>
      </c>
      <c r="AA231" t="b">
        <f t="shared" si="59"/>
        <v>0</v>
      </c>
      <c r="AB231" t="str">
        <f t="shared" si="54"/>
        <v>nem</v>
      </c>
    </row>
    <row r="232" spans="1:28" x14ac:dyDescent="0.25">
      <c r="A232" t="s">
        <v>281</v>
      </c>
      <c r="B232" t="s">
        <v>31</v>
      </c>
      <c r="C232">
        <v>47.421214999999997</v>
      </c>
      <c r="D232">
        <f t="shared" si="49"/>
        <v>0.82765633704612274</v>
      </c>
      <c r="E232">
        <v>10.986297</v>
      </c>
      <c r="F232">
        <f t="shared" si="50"/>
        <v>0.19174705525197547</v>
      </c>
      <c r="G232">
        <f t="shared" si="53"/>
        <v>605.28452319775045</v>
      </c>
      <c r="H232" t="s">
        <v>282</v>
      </c>
      <c r="I232">
        <v>2000</v>
      </c>
      <c r="J232">
        <v>700</v>
      </c>
      <c r="K232">
        <v>7</v>
      </c>
      <c r="L232">
        <v>13</v>
      </c>
      <c r="M232">
        <v>0</v>
      </c>
      <c r="N232">
        <f t="shared" si="51"/>
        <v>20</v>
      </c>
      <c r="O232">
        <v>2</v>
      </c>
      <c r="P232" t="str">
        <f t="shared" si="52"/>
        <v>Nem</v>
      </c>
      <c r="W232" t="b">
        <f t="shared" si="55"/>
        <v>0</v>
      </c>
      <c r="X232" t="b">
        <f t="shared" si="56"/>
        <v>0</v>
      </c>
      <c r="Y232" t="b">
        <f t="shared" si="57"/>
        <v>0</v>
      </c>
      <c r="Z232" t="b">
        <f t="shared" si="58"/>
        <v>0</v>
      </c>
      <c r="AA232" t="b">
        <f t="shared" si="59"/>
        <v>0</v>
      </c>
      <c r="AB232" t="str">
        <f t="shared" si="54"/>
        <v>nem</v>
      </c>
    </row>
    <row r="233" spans="1:28" x14ac:dyDescent="0.25">
      <c r="A233" t="s">
        <v>283</v>
      </c>
      <c r="B233" t="s">
        <v>198</v>
      </c>
      <c r="C233">
        <v>61.159705000000002</v>
      </c>
      <c r="D233">
        <f t="shared" si="49"/>
        <v>1.0674382217984386</v>
      </c>
      <c r="E233">
        <v>13.193609</v>
      </c>
      <c r="F233">
        <f t="shared" si="50"/>
        <v>0.23027191727075655</v>
      </c>
      <c r="G233">
        <f t="shared" si="53"/>
        <v>1564.1947017725904</v>
      </c>
      <c r="H233" t="s">
        <v>21</v>
      </c>
      <c r="I233">
        <v>887</v>
      </c>
      <c r="J233">
        <v>579</v>
      </c>
      <c r="K233">
        <v>22</v>
      </c>
      <c r="L233">
        <v>17</v>
      </c>
      <c r="M233">
        <v>3</v>
      </c>
      <c r="N233">
        <f t="shared" si="51"/>
        <v>42</v>
      </c>
      <c r="O233">
        <v>5</v>
      </c>
      <c r="P233" t="str">
        <f t="shared" si="52"/>
        <v>Nem</v>
      </c>
      <c r="W233" t="b">
        <f t="shared" si="55"/>
        <v>0</v>
      </c>
      <c r="X233" t="b">
        <f t="shared" si="56"/>
        <v>0</v>
      </c>
      <c r="Y233" t="b">
        <f t="shared" si="57"/>
        <v>0</v>
      </c>
      <c r="Z233" t="b">
        <f t="shared" si="58"/>
        <v>0</v>
      </c>
      <c r="AA233" t="b">
        <f t="shared" si="59"/>
        <v>0</v>
      </c>
      <c r="AB233" t="str">
        <f t="shared" si="54"/>
        <v>nem</v>
      </c>
    </row>
    <row r="234" spans="1:28" x14ac:dyDescent="0.25">
      <c r="A234" t="s">
        <v>284</v>
      </c>
      <c r="B234" t="s">
        <v>285</v>
      </c>
      <c r="C234">
        <v>48.966940999999998</v>
      </c>
      <c r="D234">
        <f t="shared" si="49"/>
        <v>0.85463434507980462</v>
      </c>
      <c r="E234">
        <v>19.581016609999999</v>
      </c>
      <c r="F234">
        <f t="shared" si="50"/>
        <v>0.34175321073219839</v>
      </c>
      <c r="G234">
        <f t="shared" si="53"/>
        <v>168.18639712952188</v>
      </c>
      <c r="H234" t="s">
        <v>94</v>
      </c>
      <c r="I234">
        <v>2004</v>
      </c>
      <c r="J234">
        <v>943</v>
      </c>
      <c r="K234">
        <v>19</v>
      </c>
      <c r="L234">
        <v>17</v>
      </c>
      <c r="M234">
        <v>7</v>
      </c>
      <c r="N234">
        <f t="shared" si="51"/>
        <v>43</v>
      </c>
      <c r="O234">
        <v>6</v>
      </c>
      <c r="P234" t="str">
        <f t="shared" si="52"/>
        <v>Nem</v>
      </c>
      <c r="W234" t="b">
        <f t="shared" si="55"/>
        <v>0</v>
      </c>
      <c r="X234" t="b">
        <f t="shared" si="56"/>
        <v>0</v>
      </c>
      <c r="Y234" t="b">
        <f t="shared" si="57"/>
        <v>0</v>
      </c>
      <c r="Z234" t="b">
        <f t="shared" si="58"/>
        <v>0</v>
      </c>
      <c r="AA234" t="b">
        <f t="shared" si="59"/>
        <v>0</v>
      </c>
      <c r="AB234" t="str">
        <f t="shared" si="54"/>
        <v>nem</v>
      </c>
    </row>
    <row r="235" spans="1:28" x14ac:dyDescent="0.25">
      <c r="A235" t="s">
        <v>286</v>
      </c>
      <c r="B235" t="s">
        <v>198</v>
      </c>
      <c r="C235">
        <v>61.179246200000001</v>
      </c>
      <c r="D235">
        <f t="shared" si="49"/>
        <v>1.0677792800782293</v>
      </c>
      <c r="E235">
        <v>12.9919443</v>
      </c>
      <c r="F235">
        <f t="shared" si="50"/>
        <v>0.22675220427070994</v>
      </c>
      <c r="G235">
        <f t="shared" si="53"/>
        <v>1569.3851637550274</v>
      </c>
      <c r="H235" t="s">
        <v>21</v>
      </c>
      <c r="I235">
        <v>872</v>
      </c>
      <c r="J235">
        <v>572</v>
      </c>
      <c r="K235">
        <v>18</v>
      </c>
      <c r="L235">
        <v>15</v>
      </c>
      <c r="M235">
        <v>12</v>
      </c>
      <c r="N235">
        <f t="shared" si="51"/>
        <v>45</v>
      </c>
      <c r="O235">
        <v>3</v>
      </c>
      <c r="P235" t="str">
        <f t="shared" si="52"/>
        <v>Nem</v>
      </c>
      <c r="W235" t="b">
        <f t="shared" si="55"/>
        <v>0</v>
      </c>
      <c r="X235" t="b">
        <f t="shared" si="56"/>
        <v>0</v>
      </c>
      <c r="Y235" t="b">
        <f t="shared" si="57"/>
        <v>0</v>
      </c>
      <c r="Z235" t="b">
        <f t="shared" si="58"/>
        <v>0</v>
      </c>
      <c r="AA235" t="b">
        <f t="shared" si="59"/>
        <v>0</v>
      </c>
      <c r="AB235" t="str">
        <f t="shared" si="54"/>
        <v>nem</v>
      </c>
    </row>
    <row r="236" spans="1:28" x14ac:dyDescent="0.25">
      <c r="A236" t="s">
        <v>287</v>
      </c>
      <c r="B236" t="s">
        <v>26</v>
      </c>
      <c r="C236">
        <v>48.732919799999998</v>
      </c>
      <c r="D236">
        <f t="shared" si="49"/>
        <v>0.85054990462033653</v>
      </c>
      <c r="E236">
        <v>15.570566599999999</v>
      </c>
      <c r="F236">
        <f t="shared" si="50"/>
        <v>0.27175765357105891</v>
      </c>
      <c r="G236">
        <f t="shared" si="53"/>
        <v>291.85971774895296</v>
      </c>
      <c r="H236" t="s">
        <v>23</v>
      </c>
      <c r="I236">
        <v>1860</v>
      </c>
      <c r="J236">
        <v>740</v>
      </c>
      <c r="K236">
        <v>18</v>
      </c>
      <c r="L236">
        <v>22</v>
      </c>
      <c r="M236">
        <v>2</v>
      </c>
      <c r="N236">
        <f t="shared" si="51"/>
        <v>42</v>
      </c>
      <c r="O236">
        <v>12</v>
      </c>
      <c r="P236" t="str">
        <f t="shared" si="52"/>
        <v>Nem</v>
      </c>
      <c r="W236" t="b">
        <f t="shared" si="55"/>
        <v>0</v>
      </c>
      <c r="X236" t="b">
        <f t="shared" si="56"/>
        <v>0</v>
      </c>
      <c r="Y236" t="b">
        <f t="shared" si="57"/>
        <v>0</v>
      </c>
      <c r="Z236" t="b">
        <f t="shared" si="58"/>
        <v>0</v>
      </c>
      <c r="AA236" t="b">
        <f t="shared" si="59"/>
        <v>0</v>
      </c>
      <c r="AB236" t="str">
        <f t="shared" si="54"/>
        <v>nem</v>
      </c>
    </row>
    <row r="237" spans="1:28" x14ac:dyDescent="0.25">
      <c r="A237" t="s">
        <v>288</v>
      </c>
      <c r="B237" t="s">
        <v>37</v>
      </c>
      <c r="C237">
        <v>47.056718400000001</v>
      </c>
      <c r="D237">
        <f t="shared" si="49"/>
        <v>0.82129467126379807</v>
      </c>
      <c r="E237">
        <v>8.4853156999999992</v>
      </c>
      <c r="F237">
        <f t="shared" si="50"/>
        <v>0.1480966970361674</v>
      </c>
      <c r="G237">
        <f t="shared" si="53"/>
        <v>797.15959855522988</v>
      </c>
      <c r="I237">
        <v>1315</v>
      </c>
      <c r="J237">
        <v>439</v>
      </c>
      <c r="K237">
        <v>4</v>
      </c>
      <c r="L237">
        <v>4</v>
      </c>
      <c r="M237">
        <v>0</v>
      </c>
      <c r="N237">
        <f t="shared" si="51"/>
        <v>8</v>
      </c>
      <c r="O237">
        <v>0</v>
      </c>
      <c r="P237" t="str">
        <f t="shared" si="52"/>
        <v>Nem</v>
      </c>
      <c r="W237" t="b">
        <f t="shared" si="55"/>
        <v>0</v>
      </c>
      <c r="X237" t="b">
        <f t="shared" si="56"/>
        <v>0</v>
      </c>
      <c r="Y237" t="b">
        <f t="shared" si="57"/>
        <v>0</v>
      </c>
      <c r="Z237" t="b">
        <f t="shared" si="58"/>
        <v>0</v>
      </c>
      <c r="AA237" t="b">
        <f t="shared" si="59"/>
        <v>0</v>
      </c>
      <c r="AB237" t="str">
        <f t="shared" si="54"/>
        <v>nem</v>
      </c>
    </row>
    <row r="238" spans="1:28" x14ac:dyDescent="0.25">
      <c r="A238" t="s">
        <v>289</v>
      </c>
      <c r="B238" t="s">
        <v>43</v>
      </c>
      <c r="C238">
        <v>46.773490700000004</v>
      </c>
      <c r="D238">
        <f t="shared" si="49"/>
        <v>0.81635141536594735</v>
      </c>
      <c r="E238">
        <v>6.3505764999999998</v>
      </c>
      <c r="F238">
        <f t="shared" si="50"/>
        <v>0.11083846932477767</v>
      </c>
      <c r="G238">
        <f t="shared" si="53"/>
        <v>962.16356651796832</v>
      </c>
      <c r="I238">
        <v>1420</v>
      </c>
      <c r="J238">
        <v>1000</v>
      </c>
      <c r="K238">
        <v>19</v>
      </c>
      <c r="L238">
        <v>18</v>
      </c>
      <c r="M238">
        <v>2</v>
      </c>
      <c r="N238">
        <f t="shared" si="51"/>
        <v>39</v>
      </c>
      <c r="O238">
        <v>0</v>
      </c>
      <c r="P238" t="str">
        <f t="shared" si="52"/>
        <v>Nem</v>
      </c>
      <c r="W238" t="b">
        <f t="shared" si="55"/>
        <v>0</v>
      </c>
      <c r="X238" t="b">
        <f t="shared" si="56"/>
        <v>0</v>
      </c>
      <c r="Y238" t="b">
        <f t="shared" si="57"/>
        <v>0</v>
      </c>
      <c r="Z238" t="b">
        <f t="shared" si="58"/>
        <v>0</v>
      </c>
      <c r="AA238" t="b">
        <f t="shared" si="59"/>
        <v>0</v>
      </c>
      <c r="AB238" t="str">
        <f t="shared" si="54"/>
        <v>nem</v>
      </c>
    </row>
    <row r="239" spans="1:28" x14ac:dyDescent="0.25">
      <c r="A239" t="s">
        <v>290</v>
      </c>
      <c r="B239" t="s">
        <v>104</v>
      </c>
      <c r="C239">
        <v>42.616737700000002</v>
      </c>
      <c r="D239">
        <f t="shared" si="49"/>
        <v>0.7438023893237955</v>
      </c>
      <c r="E239">
        <v>23.27422928</v>
      </c>
      <c r="F239">
        <f t="shared" si="50"/>
        <v>0.40621193180006926</v>
      </c>
      <c r="G239">
        <f t="shared" si="53"/>
        <v>636.31805925999083</v>
      </c>
      <c r="H239" t="s">
        <v>27</v>
      </c>
      <c r="I239">
        <v>2290</v>
      </c>
      <c r="J239">
        <v>726</v>
      </c>
      <c r="K239">
        <v>12</v>
      </c>
      <c r="L239">
        <v>6</v>
      </c>
      <c r="M239">
        <v>2</v>
      </c>
      <c r="N239">
        <f t="shared" si="51"/>
        <v>20</v>
      </c>
      <c r="O239">
        <v>5</v>
      </c>
      <c r="P239" t="str">
        <f t="shared" si="52"/>
        <v>Nem</v>
      </c>
      <c r="W239" t="b">
        <f t="shared" si="55"/>
        <v>0</v>
      </c>
      <c r="X239" t="b">
        <f t="shared" si="56"/>
        <v>0</v>
      </c>
      <c r="Y239" t="b">
        <f t="shared" si="57"/>
        <v>0</v>
      </c>
      <c r="Z239" t="b">
        <f t="shared" si="58"/>
        <v>0</v>
      </c>
      <c r="AA239" t="b">
        <f t="shared" si="59"/>
        <v>0</v>
      </c>
      <c r="AB239" t="str">
        <f t="shared" si="54"/>
        <v>nem</v>
      </c>
    </row>
    <row r="240" spans="1:28" x14ac:dyDescent="0.25">
      <c r="A240" t="s">
        <v>291</v>
      </c>
      <c r="B240" t="s">
        <v>40</v>
      </c>
      <c r="C240">
        <v>46.356306699999998</v>
      </c>
      <c r="D240">
        <f t="shared" si="49"/>
        <v>0.80907018097930727</v>
      </c>
      <c r="E240">
        <v>11.537193050000001</v>
      </c>
      <c r="F240">
        <f t="shared" si="50"/>
        <v>0.20136200516070679</v>
      </c>
      <c r="G240">
        <f t="shared" si="53"/>
        <v>583.48384403528166</v>
      </c>
      <c r="H240" t="s">
        <v>23</v>
      </c>
      <c r="I240">
        <v>1540</v>
      </c>
      <c r="J240">
        <v>1050</v>
      </c>
      <c r="K240">
        <v>9</v>
      </c>
      <c r="L240">
        <v>32</v>
      </c>
      <c r="M240">
        <v>7</v>
      </c>
      <c r="N240">
        <f t="shared" si="51"/>
        <v>48</v>
      </c>
      <c r="O240">
        <v>3</v>
      </c>
      <c r="P240" t="str">
        <f t="shared" si="52"/>
        <v>Nem</v>
      </c>
      <c r="W240" t="b">
        <f t="shared" si="55"/>
        <v>0</v>
      </c>
      <c r="X240" t="b">
        <f t="shared" si="56"/>
        <v>0</v>
      </c>
      <c r="Y240" t="b">
        <f t="shared" si="57"/>
        <v>0</v>
      </c>
      <c r="Z240" t="b">
        <f t="shared" si="58"/>
        <v>0</v>
      </c>
      <c r="AA240" t="b">
        <f t="shared" si="59"/>
        <v>0</v>
      </c>
      <c r="AB240" t="str">
        <f t="shared" si="54"/>
        <v>nem</v>
      </c>
    </row>
    <row r="241" spans="1:28" x14ac:dyDescent="0.25">
      <c r="A241" t="s">
        <v>292</v>
      </c>
      <c r="B241" t="s">
        <v>293</v>
      </c>
      <c r="C241">
        <v>49.707120400000001</v>
      </c>
      <c r="D241">
        <f t="shared" si="49"/>
        <v>0.86755291266524082</v>
      </c>
      <c r="E241">
        <v>19.011708800000001</v>
      </c>
      <c r="F241">
        <f t="shared" si="50"/>
        <v>0.33181691499038013</v>
      </c>
      <c r="G241">
        <f t="shared" si="53"/>
        <v>245.66160301560146</v>
      </c>
      <c r="H241" t="s">
        <v>27</v>
      </c>
      <c r="I241">
        <v>1257</v>
      </c>
      <c r="J241">
        <v>524</v>
      </c>
      <c r="K241">
        <v>22</v>
      </c>
      <c r="L241">
        <v>7</v>
      </c>
      <c r="M241">
        <v>4</v>
      </c>
      <c r="N241">
        <f t="shared" si="51"/>
        <v>33</v>
      </c>
      <c r="O241">
        <v>0</v>
      </c>
      <c r="P241" t="str">
        <f t="shared" si="52"/>
        <v>Nem</v>
      </c>
      <c r="W241" t="b">
        <f t="shared" si="55"/>
        <v>0</v>
      </c>
      <c r="X241" t="b">
        <f t="shared" si="56"/>
        <v>0</v>
      </c>
      <c r="Y241" t="b">
        <f t="shared" si="57"/>
        <v>0</v>
      </c>
      <c r="Z241" t="b">
        <f t="shared" si="58"/>
        <v>0</v>
      </c>
      <c r="AA241" t="b">
        <f t="shared" si="59"/>
        <v>0</v>
      </c>
      <c r="AB241" t="str">
        <f t="shared" si="54"/>
        <v>nem</v>
      </c>
    </row>
    <row r="242" spans="1:28" x14ac:dyDescent="0.25">
      <c r="A242" t="s">
        <v>294</v>
      </c>
      <c r="B242" t="s">
        <v>101</v>
      </c>
      <c r="C242">
        <v>46.515338900000003</v>
      </c>
      <c r="D242">
        <f t="shared" si="49"/>
        <v>0.81184581648599741</v>
      </c>
      <c r="E242">
        <v>15.5782311</v>
      </c>
      <c r="F242">
        <f t="shared" si="50"/>
        <v>0.27189142433157804</v>
      </c>
      <c r="G242">
        <f t="shared" si="53"/>
        <v>284.30393662354743</v>
      </c>
      <c r="H242" t="s">
        <v>59</v>
      </c>
      <c r="I242">
        <v>1327</v>
      </c>
      <c r="J242">
        <v>325</v>
      </c>
      <c r="K242">
        <v>23</v>
      </c>
      <c r="L242">
        <v>13</v>
      </c>
      <c r="M242">
        <v>5</v>
      </c>
      <c r="N242">
        <f t="shared" si="51"/>
        <v>41</v>
      </c>
      <c r="O242">
        <v>0</v>
      </c>
      <c r="P242" t="str">
        <f t="shared" si="52"/>
        <v>Nem</v>
      </c>
      <c r="W242" t="b">
        <f t="shared" si="55"/>
        <v>0</v>
      </c>
      <c r="X242" t="b">
        <f t="shared" si="56"/>
        <v>0</v>
      </c>
      <c r="Y242" t="b">
        <f t="shared" si="57"/>
        <v>0</v>
      </c>
      <c r="Z242" t="b">
        <f t="shared" si="58"/>
        <v>0</v>
      </c>
      <c r="AA242" t="b">
        <f t="shared" si="59"/>
        <v>0</v>
      </c>
      <c r="AB242" t="str">
        <f t="shared" si="54"/>
        <v>nem</v>
      </c>
    </row>
    <row r="243" spans="1:28" x14ac:dyDescent="0.25">
      <c r="A243" t="s">
        <v>295</v>
      </c>
      <c r="B243" t="s">
        <v>43</v>
      </c>
      <c r="C243">
        <v>46.157467349999997</v>
      </c>
      <c r="D243">
        <f t="shared" si="49"/>
        <v>0.80559977963928187</v>
      </c>
      <c r="E243">
        <v>6.5694853269999998</v>
      </c>
      <c r="F243">
        <f t="shared" si="50"/>
        <v>0.11465914911760633</v>
      </c>
      <c r="G243">
        <f t="shared" si="53"/>
        <v>959.31845557756571</v>
      </c>
      <c r="H243" t="s">
        <v>27</v>
      </c>
      <c r="I243">
        <v>1966</v>
      </c>
      <c r="J243">
        <v>1240</v>
      </c>
      <c r="K243">
        <v>22</v>
      </c>
      <c r="L243">
        <v>16</v>
      </c>
      <c r="M243">
        <v>6</v>
      </c>
      <c r="N243">
        <f t="shared" si="51"/>
        <v>44</v>
      </c>
      <c r="O243">
        <v>0</v>
      </c>
      <c r="P243" t="str">
        <f t="shared" si="52"/>
        <v>Nem</v>
      </c>
      <c r="W243" t="b">
        <f t="shared" si="55"/>
        <v>0</v>
      </c>
      <c r="X243" t="b">
        <f t="shared" si="56"/>
        <v>0</v>
      </c>
      <c r="Y243" t="b">
        <f t="shared" si="57"/>
        <v>0</v>
      </c>
      <c r="Z243" t="b">
        <f t="shared" si="58"/>
        <v>0</v>
      </c>
      <c r="AA243" t="b">
        <f t="shared" si="59"/>
        <v>0</v>
      </c>
      <c r="AB243" t="str">
        <f t="shared" si="54"/>
        <v>nem</v>
      </c>
    </row>
    <row r="244" spans="1:28" x14ac:dyDescent="0.25">
      <c r="A244" t="s">
        <v>296</v>
      </c>
      <c r="B244" t="s">
        <v>297</v>
      </c>
      <c r="C244">
        <v>43.723344099999998</v>
      </c>
      <c r="D244">
        <f t="shared" si="49"/>
        <v>0.76311631452743678</v>
      </c>
      <c r="E244">
        <v>18.59622766</v>
      </c>
      <c r="F244">
        <f t="shared" si="50"/>
        <v>0.32456540111744064</v>
      </c>
      <c r="G244">
        <f t="shared" si="53"/>
        <v>421.12936253314854</v>
      </c>
      <c r="I244">
        <v>1889</v>
      </c>
      <c r="J244">
        <v>920</v>
      </c>
      <c r="K244">
        <v>3</v>
      </c>
      <c r="L244">
        <v>19</v>
      </c>
      <c r="M244">
        <v>3</v>
      </c>
      <c r="N244">
        <f t="shared" si="51"/>
        <v>25</v>
      </c>
      <c r="O244">
        <v>0</v>
      </c>
      <c r="P244" t="str">
        <f t="shared" si="52"/>
        <v>Nem</v>
      </c>
      <c r="W244" t="b">
        <f t="shared" si="55"/>
        <v>0</v>
      </c>
      <c r="X244" t="b">
        <f t="shared" si="56"/>
        <v>0</v>
      </c>
      <c r="Y244" t="b">
        <f t="shared" si="57"/>
        <v>0</v>
      </c>
      <c r="Z244" t="b">
        <f t="shared" si="58"/>
        <v>0</v>
      </c>
      <c r="AA244" t="b">
        <f t="shared" si="59"/>
        <v>0</v>
      </c>
      <c r="AB244" t="str">
        <f t="shared" si="54"/>
        <v>nem</v>
      </c>
    </row>
    <row r="245" spans="1:28" x14ac:dyDescent="0.25">
      <c r="A245" t="s">
        <v>298</v>
      </c>
      <c r="B245" t="s">
        <v>43</v>
      </c>
      <c r="C245">
        <v>47.094413400000001</v>
      </c>
      <c r="D245">
        <f t="shared" si="49"/>
        <v>0.82195257312533732</v>
      </c>
      <c r="E245">
        <v>5.4926686849999999</v>
      </c>
      <c r="F245">
        <f t="shared" si="50"/>
        <v>9.5865153274437273E-2</v>
      </c>
      <c r="G245">
        <f t="shared" si="53"/>
        <v>1021.3562457474364</v>
      </c>
      <c r="H245" t="s">
        <v>59</v>
      </c>
      <c r="I245">
        <v>1678</v>
      </c>
      <c r="J245">
        <v>1137</v>
      </c>
      <c r="K245">
        <v>17</v>
      </c>
      <c r="L245">
        <v>8</v>
      </c>
      <c r="M245">
        <v>2</v>
      </c>
      <c r="N245">
        <f t="shared" si="51"/>
        <v>27</v>
      </c>
      <c r="O245">
        <v>0</v>
      </c>
      <c r="P245" t="str">
        <f t="shared" si="52"/>
        <v>Nem</v>
      </c>
      <c r="W245" t="b">
        <f t="shared" si="55"/>
        <v>0</v>
      </c>
      <c r="X245" t="b">
        <f t="shared" si="56"/>
        <v>0</v>
      </c>
      <c r="Y245" t="b">
        <f t="shared" si="57"/>
        <v>0</v>
      </c>
      <c r="Z245" t="b">
        <f t="shared" si="58"/>
        <v>0</v>
      </c>
      <c r="AA245" t="b">
        <f t="shared" si="59"/>
        <v>0</v>
      </c>
      <c r="AB245" t="str">
        <f t="shared" si="54"/>
        <v>nem</v>
      </c>
    </row>
    <row r="246" spans="1:28" x14ac:dyDescent="0.25">
      <c r="A246" t="s">
        <v>299</v>
      </c>
      <c r="B246" t="s">
        <v>26</v>
      </c>
      <c r="C246">
        <v>47.063448600000001</v>
      </c>
      <c r="D246">
        <f t="shared" si="49"/>
        <v>0.82141213541311575</v>
      </c>
      <c r="E246">
        <v>14.03933</v>
      </c>
      <c r="F246">
        <f t="shared" si="50"/>
        <v>0.2450325332740155</v>
      </c>
      <c r="G246">
        <f t="shared" si="53"/>
        <v>380.2582237330609</v>
      </c>
      <c r="H246" t="s">
        <v>27</v>
      </c>
      <c r="I246">
        <v>2118</v>
      </c>
      <c r="J246">
        <v>868</v>
      </c>
      <c r="K246">
        <v>17</v>
      </c>
      <c r="L246">
        <v>16</v>
      </c>
      <c r="M246">
        <v>9</v>
      </c>
      <c r="N246">
        <f t="shared" si="51"/>
        <v>42</v>
      </c>
      <c r="O246">
        <v>7</v>
      </c>
      <c r="P246" t="str">
        <f t="shared" si="52"/>
        <v>Nem</v>
      </c>
      <c r="W246" t="b">
        <f t="shared" si="55"/>
        <v>0</v>
      </c>
      <c r="X246" t="b">
        <f t="shared" si="56"/>
        <v>0</v>
      </c>
      <c r="Y246" t="b">
        <f t="shared" si="57"/>
        <v>0</v>
      </c>
      <c r="Z246" t="b">
        <f t="shared" si="58"/>
        <v>0</v>
      </c>
      <c r="AA246" t="b">
        <f t="shared" si="59"/>
        <v>0</v>
      </c>
      <c r="AB246" t="str">
        <f t="shared" si="54"/>
        <v>nem</v>
      </c>
    </row>
    <row r="247" spans="1:28" x14ac:dyDescent="0.25">
      <c r="A247" t="s">
        <v>300</v>
      </c>
      <c r="B247" t="s">
        <v>31</v>
      </c>
      <c r="C247">
        <v>47.459607300000002</v>
      </c>
      <c r="D247">
        <f t="shared" si="49"/>
        <v>0.82832640908853628</v>
      </c>
      <c r="E247">
        <v>11.076166280000001</v>
      </c>
      <c r="F247">
        <f t="shared" si="50"/>
        <v>0.19331557008437217</v>
      </c>
      <c r="G247">
        <f t="shared" si="53"/>
        <v>598.27364486389581</v>
      </c>
      <c r="H247" t="s">
        <v>27</v>
      </c>
      <c r="I247">
        <v>2050</v>
      </c>
      <c r="J247">
        <v>732</v>
      </c>
      <c r="K247">
        <v>12</v>
      </c>
      <c r="L247">
        <v>18</v>
      </c>
      <c r="M247">
        <v>10</v>
      </c>
      <c r="N247">
        <f t="shared" si="51"/>
        <v>40</v>
      </c>
      <c r="O247">
        <v>8</v>
      </c>
      <c r="P247" t="str">
        <f t="shared" si="52"/>
        <v>Nem</v>
      </c>
      <c r="W247" t="b">
        <f t="shared" si="55"/>
        <v>0</v>
      </c>
      <c r="X247" t="b">
        <f t="shared" si="56"/>
        <v>0</v>
      </c>
      <c r="Y247" t="b">
        <f t="shared" si="57"/>
        <v>0</v>
      </c>
      <c r="Z247" t="b">
        <f t="shared" si="58"/>
        <v>0</v>
      </c>
      <c r="AA247" t="b">
        <f t="shared" si="59"/>
        <v>0</v>
      </c>
      <c r="AB247" t="str">
        <f t="shared" si="54"/>
        <v>nem</v>
      </c>
    </row>
    <row r="248" spans="1:28" x14ac:dyDescent="0.25">
      <c r="A248" t="s">
        <v>301</v>
      </c>
      <c r="B248" t="s">
        <v>40</v>
      </c>
      <c r="C248">
        <v>46.420897349999997</v>
      </c>
      <c r="D248">
        <f t="shared" si="49"/>
        <v>0.81019750048781047</v>
      </c>
      <c r="E248">
        <v>11.58845807</v>
      </c>
      <c r="F248">
        <f t="shared" si="50"/>
        <v>0.20225674855080752</v>
      </c>
      <c r="G248">
        <f t="shared" si="53"/>
        <v>577.82952805567697</v>
      </c>
      <c r="H248" t="s">
        <v>27</v>
      </c>
      <c r="I248">
        <v>2337</v>
      </c>
      <c r="J248">
        <v>1200</v>
      </c>
      <c r="K248">
        <v>21</v>
      </c>
      <c r="L248">
        <v>14</v>
      </c>
      <c r="M248">
        <v>3</v>
      </c>
      <c r="N248">
        <f t="shared" si="51"/>
        <v>38</v>
      </c>
      <c r="O248">
        <v>7</v>
      </c>
      <c r="P248" t="str">
        <f t="shared" si="52"/>
        <v>Nem</v>
      </c>
      <c r="W248" t="b">
        <f t="shared" si="55"/>
        <v>0</v>
      </c>
      <c r="X248" t="b">
        <f t="shared" si="56"/>
        <v>0</v>
      </c>
      <c r="Y248" t="b">
        <f t="shared" si="57"/>
        <v>0</v>
      </c>
      <c r="Z248" t="b">
        <f t="shared" si="58"/>
        <v>0</v>
      </c>
      <c r="AA248" t="b">
        <f t="shared" si="59"/>
        <v>0</v>
      </c>
      <c r="AB248" t="str">
        <f t="shared" si="54"/>
        <v>nem</v>
      </c>
    </row>
    <row r="249" spans="1:28" x14ac:dyDescent="0.25">
      <c r="A249" t="s">
        <v>302</v>
      </c>
      <c r="B249" t="s">
        <v>37</v>
      </c>
      <c r="C249">
        <v>46.979739000000002</v>
      </c>
      <c r="D249">
        <f t="shared" si="49"/>
        <v>0.81995112727758834</v>
      </c>
      <c r="E249">
        <v>9.4367169999999998</v>
      </c>
      <c r="F249">
        <f t="shared" si="50"/>
        <v>0.16470178222892173</v>
      </c>
      <c r="G249">
        <f t="shared" si="53"/>
        <v>726.83709144341299</v>
      </c>
      <c r="H249" t="s">
        <v>27</v>
      </c>
      <c r="I249">
        <v>510</v>
      </c>
      <c r="J249">
        <v>490</v>
      </c>
      <c r="K249">
        <v>14</v>
      </c>
      <c r="L249">
        <v>21</v>
      </c>
      <c r="M249">
        <v>8</v>
      </c>
      <c r="N249">
        <f t="shared" si="51"/>
        <v>43</v>
      </c>
      <c r="O249">
        <v>9</v>
      </c>
      <c r="P249" t="str">
        <f t="shared" si="52"/>
        <v>Nem</v>
      </c>
      <c r="W249" t="b">
        <f t="shared" si="55"/>
        <v>0</v>
      </c>
      <c r="X249" t="b">
        <f t="shared" si="56"/>
        <v>0</v>
      </c>
      <c r="Y249" t="b">
        <f t="shared" si="57"/>
        <v>0</v>
      </c>
      <c r="Z249" t="b">
        <f t="shared" si="58"/>
        <v>0</v>
      </c>
      <c r="AA249" t="b">
        <f t="shared" si="59"/>
        <v>0</v>
      </c>
      <c r="AB249" t="str">
        <f t="shared" si="54"/>
        <v>nem</v>
      </c>
    </row>
    <row r="250" spans="1:28" x14ac:dyDescent="0.25">
      <c r="A250" t="s">
        <v>303</v>
      </c>
      <c r="B250" t="s">
        <v>43</v>
      </c>
      <c r="C250">
        <v>45.506646000000003</v>
      </c>
      <c r="D250">
        <f t="shared" si="49"/>
        <v>0.7942408042395076</v>
      </c>
      <c r="E250">
        <v>2.8593999999999999</v>
      </c>
      <c r="F250">
        <f t="shared" si="50"/>
        <v>4.990594463152586E-2</v>
      </c>
      <c r="G250">
        <f t="shared" si="53"/>
        <v>1255.6870323529099</v>
      </c>
      <c r="H250" t="s">
        <v>27</v>
      </c>
      <c r="I250">
        <v>1850</v>
      </c>
      <c r="J250">
        <v>1300</v>
      </c>
      <c r="K250">
        <v>30</v>
      </c>
      <c r="L250">
        <v>9</v>
      </c>
      <c r="M250">
        <v>4</v>
      </c>
      <c r="N250">
        <f t="shared" si="51"/>
        <v>43</v>
      </c>
      <c r="O250">
        <v>0</v>
      </c>
      <c r="P250" t="str">
        <f t="shared" si="52"/>
        <v>Nem</v>
      </c>
      <c r="W250" t="b">
        <f t="shared" si="55"/>
        <v>0</v>
      </c>
      <c r="X250" t="b">
        <f t="shared" si="56"/>
        <v>0</v>
      </c>
      <c r="Y250" t="b">
        <f t="shared" si="57"/>
        <v>0</v>
      </c>
      <c r="Z250" t="b">
        <f t="shared" si="58"/>
        <v>0</v>
      </c>
      <c r="AA250" t="b">
        <f t="shared" si="59"/>
        <v>0</v>
      </c>
      <c r="AB250" t="str">
        <f t="shared" si="54"/>
        <v>nem</v>
      </c>
    </row>
    <row r="251" spans="1:28" x14ac:dyDescent="0.25">
      <c r="A251" t="s">
        <v>304</v>
      </c>
      <c r="B251" t="s">
        <v>198</v>
      </c>
      <c r="C251">
        <v>61.266047800000003</v>
      </c>
      <c r="D251">
        <f t="shared" si="49"/>
        <v>1.0692942537942285</v>
      </c>
      <c r="E251">
        <v>12.8904555</v>
      </c>
      <c r="F251">
        <f t="shared" si="50"/>
        <v>0.22498089055681192</v>
      </c>
      <c r="G251">
        <f t="shared" si="53"/>
        <v>1580.2061775281211</v>
      </c>
      <c r="I251">
        <v>830</v>
      </c>
      <c r="J251">
        <v>443</v>
      </c>
      <c r="K251">
        <v>26</v>
      </c>
      <c r="L251">
        <v>3</v>
      </c>
      <c r="M251">
        <v>3</v>
      </c>
      <c r="N251">
        <f t="shared" si="51"/>
        <v>32</v>
      </c>
      <c r="O251">
        <v>0</v>
      </c>
      <c r="P251" t="str">
        <f t="shared" si="52"/>
        <v>Nem</v>
      </c>
      <c r="W251" t="b">
        <f t="shared" si="55"/>
        <v>0</v>
      </c>
      <c r="X251" t="b">
        <f t="shared" si="56"/>
        <v>0</v>
      </c>
      <c r="Y251" t="b">
        <f t="shared" si="57"/>
        <v>0</v>
      </c>
      <c r="Z251" t="b">
        <f t="shared" si="58"/>
        <v>0</v>
      </c>
      <c r="AA251" t="b">
        <f t="shared" si="59"/>
        <v>0</v>
      </c>
      <c r="AB251" t="str">
        <f t="shared" si="54"/>
        <v>nem</v>
      </c>
    </row>
    <row r="252" spans="1:28" x14ac:dyDescent="0.25">
      <c r="A252" t="s">
        <v>305</v>
      </c>
      <c r="B252" t="s">
        <v>26</v>
      </c>
      <c r="C252">
        <v>47.609990600000003</v>
      </c>
      <c r="D252">
        <f t="shared" si="49"/>
        <v>0.83095109281355062</v>
      </c>
      <c r="E252">
        <v>12.508869900000001</v>
      </c>
      <c r="F252">
        <f t="shared" si="50"/>
        <v>0.21832096545861385</v>
      </c>
      <c r="G252">
        <f t="shared" si="53"/>
        <v>490.15971643802021</v>
      </c>
      <c r="H252" t="s">
        <v>27</v>
      </c>
      <c r="I252">
        <v>1967</v>
      </c>
      <c r="J252">
        <v>920</v>
      </c>
      <c r="K252">
        <v>13</v>
      </c>
      <c r="L252">
        <v>19</v>
      </c>
      <c r="M252">
        <v>2</v>
      </c>
      <c r="N252">
        <f t="shared" si="51"/>
        <v>34</v>
      </c>
      <c r="O252">
        <v>4</v>
      </c>
      <c r="P252" t="str">
        <f t="shared" si="52"/>
        <v>Nem</v>
      </c>
      <c r="W252" t="b">
        <f t="shared" si="55"/>
        <v>0</v>
      </c>
      <c r="X252" t="b">
        <f t="shared" si="56"/>
        <v>0</v>
      </c>
      <c r="Y252" t="b">
        <f t="shared" si="57"/>
        <v>0</v>
      </c>
      <c r="Z252" t="b">
        <f t="shared" si="58"/>
        <v>0</v>
      </c>
      <c r="AA252" t="b">
        <f t="shared" si="59"/>
        <v>0</v>
      </c>
      <c r="AB252" t="str">
        <f t="shared" si="54"/>
        <v>nem</v>
      </c>
    </row>
    <row r="253" spans="1:28" x14ac:dyDescent="0.25">
      <c r="A253" t="s">
        <v>306</v>
      </c>
      <c r="B253" t="s">
        <v>198</v>
      </c>
      <c r="C253">
        <v>61.889606399999998</v>
      </c>
      <c r="D253">
        <f t="shared" si="49"/>
        <v>1.0801774044433547</v>
      </c>
      <c r="E253">
        <v>12.8330743</v>
      </c>
      <c r="F253">
        <f t="shared" si="50"/>
        <v>0.22397939968806654</v>
      </c>
      <c r="G253">
        <f t="shared" si="53"/>
        <v>1647.4402470911225</v>
      </c>
      <c r="H253" t="s">
        <v>125</v>
      </c>
      <c r="I253">
        <v>890</v>
      </c>
      <c r="J253">
        <v>588</v>
      </c>
      <c r="K253">
        <v>17</v>
      </c>
      <c r="L253">
        <v>22</v>
      </c>
      <c r="M253">
        <v>2</v>
      </c>
      <c r="N253">
        <f t="shared" si="51"/>
        <v>41</v>
      </c>
      <c r="O253">
        <v>3</v>
      </c>
      <c r="P253" t="str">
        <f t="shared" si="52"/>
        <v>Nem</v>
      </c>
      <c r="W253" t="b">
        <f t="shared" si="55"/>
        <v>0</v>
      </c>
      <c r="X253" t="b">
        <f t="shared" si="56"/>
        <v>0</v>
      </c>
      <c r="Y253" t="b">
        <f t="shared" si="57"/>
        <v>0</v>
      </c>
      <c r="Z253" t="b">
        <f t="shared" si="58"/>
        <v>0</v>
      </c>
      <c r="AA253" t="b">
        <f t="shared" si="59"/>
        <v>0</v>
      </c>
      <c r="AB253" t="str">
        <f t="shared" si="54"/>
        <v>nem</v>
      </c>
    </row>
    <row r="254" spans="1:28" x14ac:dyDescent="0.25">
      <c r="A254" t="s">
        <v>307</v>
      </c>
      <c r="B254" t="s">
        <v>26</v>
      </c>
      <c r="C254">
        <v>47.009934999999999</v>
      </c>
      <c r="D254">
        <f t="shared" si="49"/>
        <v>0.8204781468985205</v>
      </c>
      <c r="E254">
        <v>12.623200000000001</v>
      </c>
      <c r="F254">
        <f t="shared" si="50"/>
        <v>0.22031640213774822</v>
      </c>
      <c r="G254">
        <f t="shared" si="53"/>
        <v>487.20464219495233</v>
      </c>
      <c r="H254" t="s">
        <v>27</v>
      </c>
      <c r="I254">
        <v>2422</v>
      </c>
      <c r="J254">
        <v>933</v>
      </c>
      <c r="K254">
        <v>8</v>
      </c>
      <c r="L254">
        <v>22</v>
      </c>
      <c r="M254">
        <v>6</v>
      </c>
      <c r="N254">
        <f t="shared" si="51"/>
        <v>36</v>
      </c>
      <c r="O254">
        <v>7</v>
      </c>
      <c r="P254" t="str">
        <f t="shared" si="52"/>
        <v>Nem</v>
      </c>
      <c r="W254" t="b">
        <f t="shared" si="55"/>
        <v>0</v>
      </c>
      <c r="X254" t="b">
        <f t="shared" si="56"/>
        <v>0</v>
      </c>
      <c r="Y254" t="b">
        <f t="shared" si="57"/>
        <v>0</v>
      </c>
      <c r="Z254" t="b">
        <f t="shared" si="58"/>
        <v>0</v>
      </c>
      <c r="AA254" t="b">
        <f t="shared" si="59"/>
        <v>0</v>
      </c>
      <c r="AB254" t="str">
        <f t="shared" si="54"/>
        <v>nem</v>
      </c>
    </row>
    <row r="255" spans="1:28" x14ac:dyDescent="0.25">
      <c r="A255" t="s">
        <v>308</v>
      </c>
      <c r="B255" t="s">
        <v>104</v>
      </c>
      <c r="C255">
        <v>41.64619295</v>
      </c>
      <c r="D255">
        <f t="shared" si="49"/>
        <v>0.72686318789835025</v>
      </c>
      <c r="E255">
        <v>24.673563290000001</v>
      </c>
      <c r="F255">
        <f t="shared" si="50"/>
        <v>0.43063491760970452</v>
      </c>
      <c r="G255">
        <f t="shared" si="53"/>
        <v>788.50964237746336</v>
      </c>
      <c r="H255" t="s">
        <v>27</v>
      </c>
      <c r="I255">
        <v>1926</v>
      </c>
      <c r="J255">
        <v>1620</v>
      </c>
      <c r="K255">
        <v>17</v>
      </c>
      <c r="L255">
        <v>6</v>
      </c>
      <c r="M255">
        <v>5</v>
      </c>
      <c r="N255">
        <f t="shared" si="51"/>
        <v>28</v>
      </c>
      <c r="O255">
        <v>0</v>
      </c>
      <c r="P255" t="str">
        <f t="shared" si="52"/>
        <v>Nem</v>
      </c>
      <c r="W255" t="b">
        <f t="shared" si="55"/>
        <v>0</v>
      </c>
      <c r="X255" t="b">
        <f t="shared" si="56"/>
        <v>0</v>
      </c>
      <c r="Y255" t="b">
        <f t="shared" si="57"/>
        <v>0</v>
      </c>
      <c r="Z255" t="b">
        <f t="shared" si="58"/>
        <v>0</v>
      </c>
      <c r="AA255" t="b">
        <f t="shared" si="59"/>
        <v>0</v>
      </c>
      <c r="AB255" t="str">
        <f t="shared" si="54"/>
        <v>nem</v>
      </c>
    </row>
    <row r="256" spans="1:28" x14ac:dyDescent="0.25">
      <c r="A256" t="s">
        <v>309</v>
      </c>
      <c r="B256" t="s">
        <v>40</v>
      </c>
      <c r="C256">
        <v>44.131437499999997</v>
      </c>
      <c r="D256">
        <f t="shared" si="49"/>
        <v>0.77023888801309504</v>
      </c>
      <c r="E256">
        <v>10.6306384</v>
      </c>
      <c r="F256">
        <f t="shared" si="50"/>
        <v>0.18553964166894196</v>
      </c>
      <c r="G256">
        <f t="shared" si="53"/>
        <v>751.00119979392628</v>
      </c>
      <c r="H256" t="s">
        <v>27</v>
      </c>
      <c r="I256">
        <v>1892</v>
      </c>
      <c r="J256">
        <v>1240</v>
      </c>
      <c r="K256">
        <v>14</v>
      </c>
      <c r="L256">
        <v>28</v>
      </c>
      <c r="M256">
        <v>1</v>
      </c>
      <c r="N256">
        <f t="shared" si="51"/>
        <v>43</v>
      </c>
      <c r="O256">
        <v>0</v>
      </c>
      <c r="P256" t="str">
        <f t="shared" si="52"/>
        <v>Nem</v>
      </c>
      <c r="W256" t="b">
        <f t="shared" si="55"/>
        <v>0</v>
      </c>
      <c r="X256" t="b">
        <f t="shared" si="56"/>
        <v>0</v>
      </c>
      <c r="Y256" t="b">
        <f t="shared" si="57"/>
        <v>0</v>
      </c>
      <c r="Z256" t="b">
        <f t="shared" si="58"/>
        <v>0</v>
      </c>
      <c r="AA256" t="b">
        <f t="shared" si="59"/>
        <v>0</v>
      </c>
      <c r="AB256" t="str">
        <f t="shared" si="54"/>
        <v>nem</v>
      </c>
    </row>
    <row r="257" spans="1:28" x14ac:dyDescent="0.25">
      <c r="A257" t="s">
        <v>310</v>
      </c>
      <c r="B257" t="s">
        <v>26</v>
      </c>
      <c r="C257">
        <v>46.694760000000002</v>
      </c>
      <c r="D257">
        <f t="shared" si="49"/>
        <v>0.8149773054285474</v>
      </c>
      <c r="E257">
        <v>13.914331799999999</v>
      </c>
      <c r="F257">
        <f t="shared" si="50"/>
        <v>0.24285090312494911</v>
      </c>
      <c r="G257">
        <f t="shared" si="53"/>
        <v>398.08348649761325</v>
      </c>
      <c r="H257" t="s">
        <v>27</v>
      </c>
      <c r="I257">
        <v>1000</v>
      </c>
      <c r="J257">
        <v>520</v>
      </c>
      <c r="K257">
        <v>10</v>
      </c>
      <c r="L257">
        <v>27</v>
      </c>
      <c r="M257">
        <v>3</v>
      </c>
      <c r="N257">
        <f t="shared" si="51"/>
        <v>40</v>
      </c>
      <c r="O257">
        <v>7</v>
      </c>
      <c r="P257" t="str">
        <f t="shared" si="52"/>
        <v>Nem</v>
      </c>
      <c r="W257" t="b">
        <f t="shared" si="55"/>
        <v>0</v>
      </c>
      <c r="X257" t="b">
        <f t="shared" si="56"/>
        <v>0</v>
      </c>
      <c r="Y257" t="b">
        <f t="shared" si="57"/>
        <v>0</v>
      </c>
      <c r="Z257" t="b">
        <f t="shared" si="58"/>
        <v>0</v>
      </c>
      <c r="AA257" t="b">
        <f t="shared" si="59"/>
        <v>0</v>
      </c>
      <c r="AB257" t="str">
        <f t="shared" si="54"/>
        <v>nem</v>
      </c>
    </row>
    <row r="258" spans="1:28" x14ac:dyDescent="0.25">
      <c r="A258" t="s">
        <v>311</v>
      </c>
      <c r="B258" t="s">
        <v>40</v>
      </c>
      <c r="C258">
        <v>46.157296299999999</v>
      </c>
      <c r="D258">
        <f t="shared" si="49"/>
        <v>0.80559679425359632</v>
      </c>
      <c r="E258">
        <v>11.00551108</v>
      </c>
      <c r="F258">
        <f t="shared" si="50"/>
        <v>0.19208240421071707</v>
      </c>
      <c r="G258">
        <f t="shared" si="53"/>
        <v>628.87002707064437</v>
      </c>
      <c r="H258" t="s">
        <v>23</v>
      </c>
      <c r="I258">
        <v>2125</v>
      </c>
      <c r="J258">
        <v>1030</v>
      </c>
      <c r="K258">
        <v>9</v>
      </c>
      <c r="L258">
        <v>22</v>
      </c>
      <c r="M258">
        <v>1</v>
      </c>
      <c r="N258">
        <f t="shared" si="51"/>
        <v>32</v>
      </c>
      <c r="O258">
        <v>6</v>
      </c>
      <c r="P258" t="str">
        <f t="shared" si="52"/>
        <v>Nem</v>
      </c>
      <c r="W258" t="b">
        <f t="shared" si="55"/>
        <v>0</v>
      </c>
      <c r="X258" t="b">
        <f t="shared" si="56"/>
        <v>0</v>
      </c>
      <c r="Y258" t="b">
        <f t="shared" si="57"/>
        <v>0</v>
      </c>
      <c r="Z258" t="b">
        <f t="shared" si="58"/>
        <v>0</v>
      </c>
      <c r="AA258" t="b">
        <f t="shared" si="59"/>
        <v>0</v>
      </c>
      <c r="AB258" t="str">
        <f t="shared" si="54"/>
        <v>nem</v>
      </c>
    </row>
    <row r="259" spans="1:28" x14ac:dyDescent="0.25">
      <c r="A259" t="s">
        <v>312</v>
      </c>
      <c r="B259" t="s">
        <v>37</v>
      </c>
      <c r="C259">
        <v>46.774524450000001</v>
      </c>
      <c r="D259">
        <f t="shared" si="49"/>
        <v>0.8163694577070898</v>
      </c>
      <c r="E259">
        <v>8.2716342340000004</v>
      </c>
      <c r="F259">
        <f t="shared" si="50"/>
        <v>0.14436725190397909</v>
      </c>
      <c r="G259">
        <f t="shared" si="53"/>
        <v>817.84591611461303</v>
      </c>
      <c r="H259" t="s">
        <v>27</v>
      </c>
      <c r="I259">
        <v>2255</v>
      </c>
      <c r="J259">
        <v>1080</v>
      </c>
      <c r="K259">
        <v>20</v>
      </c>
      <c r="L259">
        <v>6</v>
      </c>
      <c r="M259">
        <v>10</v>
      </c>
      <c r="N259">
        <f t="shared" si="51"/>
        <v>36</v>
      </c>
      <c r="O259">
        <v>0</v>
      </c>
      <c r="P259" t="str">
        <f t="shared" si="52"/>
        <v>Nem</v>
      </c>
      <c r="W259" t="b">
        <f t="shared" si="55"/>
        <v>0</v>
      </c>
      <c r="X259" t="b">
        <f t="shared" si="56"/>
        <v>0</v>
      </c>
      <c r="Y259" t="b">
        <f t="shared" si="57"/>
        <v>0</v>
      </c>
      <c r="Z259" t="b">
        <f t="shared" si="58"/>
        <v>0</v>
      </c>
      <c r="AA259" t="b">
        <f t="shared" si="59"/>
        <v>0</v>
      </c>
      <c r="AB259" t="str">
        <f t="shared" si="54"/>
        <v>nem</v>
      </c>
    </row>
    <row r="260" spans="1:28" x14ac:dyDescent="0.25">
      <c r="A260" t="s">
        <v>313</v>
      </c>
      <c r="B260" t="s">
        <v>140</v>
      </c>
      <c r="C260">
        <v>42.394449799999997</v>
      </c>
      <c r="D260">
        <f t="shared" ref="D260:D323" si="60">RADIANS(C260)</f>
        <v>0.73992273358145144</v>
      </c>
      <c r="E260">
        <v>2.1549868000000001</v>
      </c>
      <c r="F260">
        <f t="shared" ref="F260:F323" si="61">RADIANS(E260)</f>
        <v>3.761161499701654E-2</v>
      </c>
      <c r="G260">
        <f t="shared" si="53"/>
        <v>1441.1438290320236</v>
      </c>
      <c r="I260">
        <v>1964</v>
      </c>
      <c r="J260">
        <v>912</v>
      </c>
      <c r="K260">
        <v>4</v>
      </c>
      <c r="L260">
        <v>2</v>
      </c>
      <c r="M260">
        <v>1</v>
      </c>
      <c r="N260">
        <f t="shared" ref="N260:N323" si="62">SUM(K260,L260,M260)</f>
        <v>7</v>
      </c>
      <c r="O260">
        <v>0</v>
      </c>
      <c r="P260" t="str">
        <f t="shared" ref="P260:P323" si="63">IF(AA260, "Igen", "Nem")</f>
        <v>Nem</v>
      </c>
      <c r="W260" t="b">
        <f t="shared" si="55"/>
        <v>0</v>
      </c>
      <c r="X260" t="b">
        <f t="shared" si="56"/>
        <v>0</v>
      </c>
      <c r="Y260" t="b">
        <f t="shared" si="57"/>
        <v>0</v>
      </c>
      <c r="Z260" t="b">
        <f t="shared" si="58"/>
        <v>0</v>
      </c>
      <c r="AA260" t="b">
        <f t="shared" si="59"/>
        <v>0</v>
      </c>
      <c r="AB260" t="str">
        <f t="shared" si="54"/>
        <v>nem</v>
      </c>
    </row>
    <row r="261" spans="1:28" x14ac:dyDescent="0.25">
      <c r="A261" t="s">
        <v>314</v>
      </c>
      <c r="B261" t="s">
        <v>43</v>
      </c>
      <c r="C261">
        <v>45.662989150000001</v>
      </c>
      <c r="D261">
        <f t="shared" si="60"/>
        <v>0.79696950696994684</v>
      </c>
      <c r="E261">
        <v>6.5663190980000001</v>
      </c>
      <c r="F261">
        <f t="shared" si="61"/>
        <v>0.11460388799668421</v>
      </c>
      <c r="G261">
        <f t="shared" ref="G261:G324" si="64">ACOS(SIN(D261)*SIN($U$2)+COS(D261) * COS($U$2) * COS($V$2 - F261)) * 6371</f>
        <v>973.80138804917362</v>
      </c>
      <c r="H261" t="s">
        <v>27</v>
      </c>
      <c r="I261">
        <v>2300</v>
      </c>
      <c r="J261">
        <v>1050</v>
      </c>
      <c r="K261">
        <v>15</v>
      </c>
      <c r="L261">
        <v>20</v>
      </c>
      <c r="M261">
        <v>15</v>
      </c>
      <c r="N261">
        <f t="shared" si="62"/>
        <v>50</v>
      </c>
      <c r="O261">
        <v>0</v>
      </c>
      <c r="P261" t="str">
        <f t="shared" si="63"/>
        <v>Nem</v>
      </c>
      <c r="W261" t="b">
        <f t="shared" si="55"/>
        <v>0</v>
      </c>
      <c r="X261" t="b">
        <f t="shared" si="56"/>
        <v>0</v>
      </c>
      <c r="Y261" t="b">
        <f t="shared" si="57"/>
        <v>0</v>
      </c>
      <c r="Z261" t="b">
        <f t="shared" si="58"/>
        <v>0</v>
      </c>
      <c r="AA261" t="b">
        <f t="shared" si="59"/>
        <v>0</v>
      </c>
      <c r="AB261" t="str">
        <f t="shared" si="54"/>
        <v>nem</v>
      </c>
    </row>
    <row r="262" spans="1:28" x14ac:dyDescent="0.25">
      <c r="A262" t="s">
        <v>315</v>
      </c>
      <c r="B262" t="s">
        <v>316</v>
      </c>
      <c r="C262">
        <v>50.725644799999998</v>
      </c>
      <c r="D262">
        <f t="shared" si="60"/>
        <v>0.88532951695714046</v>
      </c>
      <c r="E262">
        <v>15.6067567</v>
      </c>
      <c r="F262">
        <f t="shared" si="61"/>
        <v>0.27238928997268491</v>
      </c>
      <c r="G262">
        <f t="shared" si="64"/>
        <v>437.23772178939925</v>
      </c>
      <c r="H262" t="s">
        <v>27</v>
      </c>
      <c r="I262">
        <v>1235</v>
      </c>
      <c r="J262">
        <v>702</v>
      </c>
      <c r="K262">
        <v>8</v>
      </c>
      <c r="L262">
        <v>13</v>
      </c>
      <c r="M262">
        <v>2</v>
      </c>
      <c r="N262">
        <f t="shared" si="62"/>
        <v>23</v>
      </c>
      <c r="O262">
        <v>0</v>
      </c>
      <c r="P262" t="str">
        <f t="shared" si="63"/>
        <v>Nem</v>
      </c>
      <c r="W262" t="b">
        <f t="shared" si="55"/>
        <v>0</v>
      </c>
      <c r="X262" t="b">
        <f t="shared" si="56"/>
        <v>0</v>
      </c>
      <c r="Y262" t="b">
        <f t="shared" si="57"/>
        <v>0</v>
      </c>
      <c r="Z262" t="b">
        <f t="shared" si="58"/>
        <v>0</v>
      </c>
      <c r="AA262" t="b">
        <f t="shared" si="59"/>
        <v>0</v>
      </c>
      <c r="AB262" t="str">
        <f t="shared" si="54"/>
        <v>nem</v>
      </c>
    </row>
    <row r="263" spans="1:28" x14ac:dyDescent="0.25">
      <c r="A263" t="s">
        <v>317</v>
      </c>
      <c r="B263" t="s">
        <v>37</v>
      </c>
      <c r="C263">
        <v>46.396093899999997</v>
      </c>
      <c r="D263">
        <f t="shared" si="60"/>
        <v>0.80976459861945671</v>
      </c>
      <c r="E263">
        <v>7.1018391000000003</v>
      </c>
      <c r="F263">
        <f t="shared" si="61"/>
        <v>0.12395047524187083</v>
      </c>
      <c r="G263">
        <f t="shared" si="64"/>
        <v>913.55680382720936</v>
      </c>
      <c r="H263" t="s">
        <v>27</v>
      </c>
      <c r="I263">
        <v>1870</v>
      </c>
      <c r="J263">
        <v>1445</v>
      </c>
      <c r="K263">
        <v>10</v>
      </c>
      <c r="L263">
        <v>30</v>
      </c>
      <c r="M263">
        <v>0</v>
      </c>
      <c r="N263">
        <f t="shared" si="62"/>
        <v>40</v>
      </c>
      <c r="O263">
        <v>0</v>
      </c>
      <c r="P263" t="str">
        <f t="shared" si="63"/>
        <v>Nem</v>
      </c>
      <c r="W263" t="b">
        <f t="shared" si="55"/>
        <v>0</v>
      </c>
      <c r="X263" t="b">
        <f t="shared" si="56"/>
        <v>0</v>
      </c>
      <c r="Y263" t="b">
        <f t="shared" si="57"/>
        <v>0</v>
      </c>
      <c r="Z263" t="b">
        <f t="shared" si="58"/>
        <v>0</v>
      </c>
      <c r="AA263" t="b">
        <f t="shared" si="59"/>
        <v>0</v>
      </c>
      <c r="AB263" t="str">
        <f t="shared" si="54"/>
        <v>nem</v>
      </c>
    </row>
    <row r="264" spans="1:28" x14ac:dyDescent="0.25">
      <c r="A264" t="s">
        <v>318</v>
      </c>
      <c r="B264" t="s">
        <v>40</v>
      </c>
      <c r="C264">
        <v>45.979849999999999</v>
      </c>
      <c r="D264">
        <f t="shared" si="60"/>
        <v>0.80249977207311474</v>
      </c>
      <c r="E264">
        <v>11.0630167</v>
      </c>
      <c r="F264">
        <f t="shared" si="61"/>
        <v>0.19308606661811778</v>
      </c>
      <c r="G264">
        <f t="shared" si="64"/>
        <v>630.57546992437096</v>
      </c>
      <c r="H264" t="s">
        <v>23</v>
      </c>
      <c r="I264">
        <v>1976</v>
      </c>
      <c r="J264">
        <v>900</v>
      </c>
      <c r="K264">
        <v>15</v>
      </c>
      <c r="L264">
        <v>25</v>
      </c>
      <c r="M264">
        <v>10</v>
      </c>
      <c r="N264">
        <f t="shared" si="62"/>
        <v>50</v>
      </c>
      <c r="O264">
        <v>0</v>
      </c>
      <c r="P264" t="str">
        <f t="shared" si="63"/>
        <v>Nem</v>
      </c>
      <c r="W264" t="b">
        <f t="shared" si="55"/>
        <v>0</v>
      </c>
      <c r="X264" t="b">
        <f t="shared" si="56"/>
        <v>0</v>
      </c>
      <c r="Y264" t="b">
        <f t="shared" si="57"/>
        <v>0</v>
      </c>
      <c r="Z264" t="b">
        <f t="shared" si="58"/>
        <v>0</v>
      </c>
      <c r="AA264" t="b">
        <f t="shared" si="59"/>
        <v>0</v>
      </c>
      <c r="AB264" t="str">
        <f t="shared" si="54"/>
        <v>nem</v>
      </c>
    </row>
    <row r="265" spans="1:28" x14ac:dyDescent="0.25">
      <c r="A265" t="s">
        <v>319</v>
      </c>
      <c r="B265" t="s">
        <v>43</v>
      </c>
      <c r="C265">
        <v>42.768303000000003</v>
      </c>
      <c r="D265">
        <f t="shared" si="60"/>
        <v>0.74644770284056849</v>
      </c>
      <c r="E265">
        <v>0.57802169999999997</v>
      </c>
      <c r="F265">
        <f t="shared" si="61"/>
        <v>1.0088381812974907E-2</v>
      </c>
      <c r="G265">
        <f t="shared" si="64"/>
        <v>1536.2471432233315</v>
      </c>
      <c r="H265" t="s">
        <v>27</v>
      </c>
      <c r="I265">
        <v>1440</v>
      </c>
      <c r="J265">
        <v>635</v>
      </c>
      <c r="K265">
        <v>16</v>
      </c>
      <c r="L265">
        <v>10</v>
      </c>
      <c r="M265">
        <v>6</v>
      </c>
      <c r="N265">
        <f t="shared" si="62"/>
        <v>32</v>
      </c>
      <c r="O265">
        <v>0</v>
      </c>
      <c r="P265" t="str">
        <f t="shared" si="63"/>
        <v>Nem</v>
      </c>
      <c r="W265" t="b">
        <f t="shared" si="55"/>
        <v>0</v>
      </c>
      <c r="X265" t="b">
        <f t="shared" si="56"/>
        <v>0</v>
      </c>
      <c r="Y265" t="b">
        <f t="shared" si="57"/>
        <v>0</v>
      </c>
      <c r="Z265" t="b">
        <f t="shared" si="58"/>
        <v>0</v>
      </c>
      <c r="AA265" t="b">
        <f t="shared" si="59"/>
        <v>0</v>
      </c>
      <c r="AB265" t="str">
        <f t="shared" si="54"/>
        <v>nem</v>
      </c>
    </row>
    <row r="266" spans="1:28" x14ac:dyDescent="0.25">
      <c r="A266" t="s">
        <v>320</v>
      </c>
      <c r="B266" t="s">
        <v>43</v>
      </c>
      <c r="C266">
        <v>46.302609099999998</v>
      </c>
      <c r="D266">
        <f t="shared" si="60"/>
        <v>0.80813298105888831</v>
      </c>
      <c r="E266">
        <v>5.9407474999999996</v>
      </c>
      <c r="F266">
        <f t="shared" si="61"/>
        <v>0.10368560390462182</v>
      </c>
      <c r="G266">
        <f t="shared" si="64"/>
        <v>1002.8580702594961</v>
      </c>
      <c r="H266" t="s">
        <v>59</v>
      </c>
      <c r="I266">
        <v>900</v>
      </c>
      <c r="J266">
        <v>640</v>
      </c>
      <c r="K266">
        <v>16</v>
      </c>
      <c r="L266">
        <v>7</v>
      </c>
      <c r="M266">
        <v>4</v>
      </c>
      <c r="N266">
        <f t="shared" si="62"/>
        <v>27</v>
      </c>
      <c r="O266">
        <v>0</v>
      </c>
      <c r="P266" t="str">
        <f t="shared" si="63"/>
        <v>Nem</v>
      </c>
      <c r="W266" t="b">
        <f t="shared" si="55"/>
        <v>0</v>
      </c>
      <c r="X266" t="b">
        <f t="shared" si="56"/>
        <v>0</v>
      </c>
      <c r="Y266" t="b">
        <f t="shared" si="57"/>
        <v>0</v>
      </c>
      <c r="Z266" t="b">
        <f t="shared" si="58"/>
        <v>0</v>
      </c>
      <c r="AA266" t="b">
        <f t="shared" si="59"/>
        <v>0</v>
      </c>
      <c r="AB266" t="str">
        <f t="shared" ref="AB266:AB329" si="65">IF(AA266, "igen", "nem")</f>
        <v>nem</v>
      </c>
    </row>
    <row r="267" spans="1:28" x14ac:dyDescent="0.25">
      <c r="A267" t="s">
        <v>321</v>
      </c>
      <c r="B267" t="s">
        <v>322</v>
      </c>
      <c r="C267">
        <v>45.345660700000003</v>
      </c>
      <c r="D267">
        <f t="shared" si="60"/>
        <v>0.7914310807071967</v>
      </c>
      <c r="E267">
        <v>25.547928299999999</v>
      </c>
      <c r="F267">
        <f t="shared" si="61"/>
        <v>0.44589546589843759</v>
      </c>
      <c r="G267">
        <f t="shared" si="64"/>
        <v>553.02207703397607</v>
      </c>
      <c r="I267">
        <v>880</v>
      </c>
      <c r="J267">
        <v>834</v>
      </c>
      <c r="K267">
        <v>3</v>
      </c>
      <c r="L267">
        <v>11</v>
      </c>
      <c r="M267">
        <v>4</v>
      </c>
      <c r="N267">
        <f t="shared" si="62"/>
        <v>18</v>
      </c>
      <c r="O267">
        <v>0</v>
      </c>
      <c r="P267" t="str">
        <f t="shared" si="63"/>
        <v>Nem</v>
      </c>
      <c r="W267" t="b">
        <f t="shared" si="55"/>
        <v>0</v>
      </c>
      <c r="X267" t="b">
        <f t="shared" si="56"/>
        <v>0</v>
      </c>
      <c r="Y267" t="b">
        <f t="shared" si="57"/>
        <v>0</v>
      </c>
      <c r="Z267" t="b">
        <f t="shared" si="58"/>
        <v>0</v>
      </c>
      <c r="AA267" t="b">
        <f t="shared" si="59"/>
        <v>0</v>
      </c>
      <c r="AB267" t="str">
        <f t="shared" si="65"/>
        <v>nem</v>
      </c>
    </row>
    <row r="268" spans="1:28" x14ac:dyDescent="0.25">
      <c r="A268" t="s">
        <v>323</v>
      </c>
      <c r="B268" t="s">
        <v>43</v>
      </c>
      <c r="C268">
        <v>42.9438107</v>
      </c>
      <c r="D268">
        <f t="shared" si="60"/>
        <v>0.74951089006817084</v>
      </c>
      <c r="E268">
        <v>-0.32912950000000002</v>
      </c>
      <c r="F268">
        <f t="shared" si="61"/>
        <v>-5.7443934404426775E-3</v>
      </c>
      <c r="G268">
        <f t="shared" si="64"/>
        <v>1594.3466424686701</v>
      </c>
      <c r="H268" t="s">
        <v>27</v>
      </c>
      <c r="I268">
        <v>2450</v>
      </c>
      <c r="J268">
        <v>1350</v>
      </c>
      <c r="K268">
        <v>18</v>
      </c>
      <c r="L268">
        <v>13</v>
      </c>
      <c r="M268">
        <v>4</v>
      </c>
      <c r="N268">
        <f t="shared" si="62"/>
        <v>35</v>
      </c>
      <c r="O268">
        <v>0</v>
      </c>
      <c r="P268" t="str">
        <f t="shared" si="63"/>
        <v>Nem</v>
      </c>
      <c r="W268" t="b">
        <f t="shared" si="55"/>
        <v>0</v>
      </c>
      <c r="X268" t="b">
        <f t="shared" si="56"/>
        <v>0</v>
      </c>
      <c r="Y268" t="b">
        <f t="shared" si="57"/>
        <v>0</v>
      </c>
      <c r="Z268" t="b">
        <f t="shared" si="58"/>
        <v>0</v>
      </c>
      <c r="AA268" t="b">
        <f t="shared" si="59"/>
        <v>0</v>
      </c>
      <c r="AB268" t="str">
        <f t="shared" si="65"/>
        <v>nem</v>
      </c>
    </row>
    <row r="269" spans="1:28" x14ac:dyDescent="0.25">
      <c r="A269" t="s">
        <v>324</v>
      </c>
      <c r="B269" t="s">
        <v>26</v>
      </c>
      <c r="C269">
        <v>47.223391999999997</v>
      </c>
      <c r="D269">
        <f t="shared" si="60"/>
        <v>0.82420367435995001</v>
      </c>
      <c r="E269">
        <v>12.990109</v>
      </c>
      <c r="F269">
        <f t="shared" si="61"/>
        <v>0.22672017224294808</v>
      </c>
      <c r="G269">
        <f t="shared" si="64"/>
        <v>456.60872058561</v>
      </c>
      <c r="H269" t="s">
        <v>27</v>
      </c>
      <c r="I269">
        <v>2175</v>
      </c>
      <c r="J269">
        <v>940</v>
      </c>
      <c r="K269">
        <v>15</v>
      </c>
      <c r="L269">
        <v>12</v>
      </c>
      <c r="M269">
        <v>5</v>
      </c>
      <c r="N269">
        <f t="shared" si="62"/>
        <v>32</v>
      </c>
      <c r="O269">
        <v>10</v>
      </c>
      <c r="P269" t="str">
        <f t="shared" si="63"/>
        <v>Nem</v>
      </c>
      <c r="W269" t="b">
        <f t="shared" si="55"/>
        <v>0</v>
      </c>
      <c r="X269" t="b">
        <f t="shared" si="56"/>
        <v>0</v>
      </c>
      <c r="Y269" t="b">
        <f t="shared" si="57"/>
        <v>0</v>
      </c>
      <c r="Z269" t="b">
        <f t="shared" si="58"/>
        <v>0</v>
      </c>
      <c r="AA269" t="b">
        <f t="shared" si="59"/>
        <v>0</v>
      </c>
      <c r="AB269" t="str">
        <f t="shared" si="65"/>
        <v>nem</v>
      </c>
    </row>
    <row r="270" spans="1:28" x14ac:dyDescent="0.25">
      <c r="A270" t="s">
        <v>325</v>
      </c>
      <c r="B270" t="s">
        <v>37</v>
      </c>
      <c r="C270">
        <v>47.011750149999997</v>
      </c>
      <c r="D270">
        <f t="shared" si="60"/>
        <v>0.82050982724243804</v>
      </c>
      <c r="E270">
        <v>8.7873100149999992</v>
      </c>
      <c r="F270">
        <f t="shared" si="61"/>
        <v>0.1533674921552223</v>
      </c>
      <c r="G270">
        <f t="shared" si="64"/>
        <v>775.13141453532739</v>
      </c>
      <c r="H270" t="s">
        <v>27</v>
      </c>
      <c r="I270">
        <v>1850</v>
      </c>
      <c r="J270">
        <v>1035</v>
      </c>
      <c r="K270">
        <v>15</v>
      </c>
      <c r="L270">
        <v>30</v>
      </c>
      <c r="M270">
        <v>5</v>
      </c>
      <c r="N270">
        <f t="shared" si="62"/>
        <v>50</v>
      </c>
      <c r="O270">
        <v>5</v>
      </c>
      <c r="P270" t="str">
        <f t="shared" si="63"/>
        <v>Nem</v>
      </c>
      <c r="W270" t="b">
        <f t="shared" si="55"/>
        <v>0</v>
      </c>
      <c r="X270" t="b">
        <f t="shared" si="56"/>
        <v>0</v>
      </c>
      <c r="Y270" t="b">
        <f t="shared" si="57"/>
        <v>0</v>
      </c>
      <c r="Z270" t="b">
        <f t="shared" si="58"/>
        <v>0</v>
      </c>
      <c r="AA270" t="b">
        <f t="shared" si="59"/>
        <v>0</v>
      </c>
      <c r="AB270" t="str">
        <f t="shared" si="65"/>
        <v>nem</v>
      </c>
    </row>
    <row r="271" spans="1:28" x14ac:dyDescent="0.25">
      <c r="A271" t="s">
        <v>326</v>
      </c>
      <c r="B271" t="s">
        <v>40</v>
      </c>
      <c r="C271">
        <v>46.665558300000001</v>
      </c>
      <c r="D271">
        <f t="shared" si="60"/>
        <v>0.81446763961636781</v>
      </c>
      <c r="E271">
        <v>11.307125600000001</v>
      </c>
      <c r="F271">
        <f t="shared" si="61"/>
        <v>0.19734657065653935</v>
      </c>
      <c r="G271">
        <f t="shared" si="64"/>
        <v>592.55211970558241</v>
      </c>
      <c r="H271" t="s">
        <v>59</v>
      </c>
      <c r="I271">
        <v>1609</v>
      </c>
      <c r="J271">
        <v>648</v>
      </c>
      <c r="K271">
        <v>12</v>
      </c>
      <c r="L271">
        <v>25</v>
      </c>
      <c r="M271">
        <v>3</v>
      </c>
      <c r="N271">
        <f t="shared" si="62"/>
        <v>40</v>
      </c>
      <c r="O271">
        <v>5</v>
      </c>
      <c r="P271" t="str">
        <f t="shared" si="63"/>
        <v>Nem</v>
      </c>
      <c r="W271" t="b">
        <f t="shared" si="55"/>
        <v>0</v>
      </c>
      <c r="X271" t="b">
        <f t="shared" si="56"/>
        <v>0</v>
      </c>
      <c r="Y271" t="b">
        <f t="shared" si="57"/>
        <v>0</v>
      </c>
      <c r="Z271" t="b">
        <f t="shared" si="58"/>
        <v>0</v>
      </c>
      <c r="AA271" t="b">
        <f t="shared" si="59"/>
        <v>0</v>
      </c>
      <c r="AB271" t="str">
        <f t="shared" si="65"/>
        <v>nem</v>
      </c>
    </row>
    <row r="272" spans="1:28" x14ac:dyDescent="0.25">
      <c r="A272" t="s">
        <v>327</v>
      </c>
      <c r="B272" t="s">
        <v>37</v>
      </c>
      <c r="C272">
        <v>46.652019250000002</v>
      </c>
      <c r="D272">
        <f t="shared" si="60"/>
        <v>0.81423133861627561</v>
      </c>
      <c r="E272">
        <v>8.6226670270000003</v>
      </c>
      <c r="F272">
        <f t="shared" si="61"/>
        <v>0.1504939299243008</v>
      </c>
      <c r="G272">
        <f t="shared" si="64"/>
        <v>793.88099234298363</v>
      </c>
      <c r="H272" t="s">
        <v>59</v>
      </c>
      <c r="I272">
        <v>2344</v>
      </c>
      <c r="J272">
        <v>1444</v>
      </c>
      <c r="K272">
        <v>8</v>
      </c>
      <c r="L272">
        <v>5</v>
      </c>
      <c r="M272">
        <v>8</v>
      </c>
      <c r="N272">
        <f t="shared" si="62"/>
        <v>21</v>
      </c>
      <c r="O272">
        <v>0</v>
      </c>
      <c r="P272" t="str">
        <f t="shared" si="63"/>
        <v>Nem</v>
      </c>
      <c r="W272" t="b">
        <f t="shared" si="55"/>
        <v>0</v>
      </c>
      <c r="X272" t="b">
        <f t="shared" si="56"/>
        <v>0</v>
      </c>
      <c r="Y272" t="b">
        <f t="shared" si="57"/>
        <v>0</v>
      </c>
      <c r="Z272" t="b">
        <f t="shared" si="58"/>
        <v>0</v>
      </c>
      <c r="AA272" t="b">
        <f t="shared" si="59"/>
        <v>0</v>
      </c>
      <c r="AB272" t="str">
        <f t="shared" si="65"/>
        <v>nem</v>
      </c>
    </row>
    <row r="273" spans="1:28" x14ac:dyDescent="0.25">
      <c r="A273" t="s">
        <v>328</v>
      </c>
      <c r="B273" t="s">
        <v>43</v>
      </c>
      <c r="C273">
        <v>45.217408800000001</v>
      </c>
      <c r="D273">
        <f t="shared" si="60"/>
        <v>0.78919266278025813</v>
      </c>
      <c r="E273">
        <v>6.340903</v>
      </c>
      <c r="F273">
        <f t="shared" si="61"/>
        <v>0.11066963489958601</v>
      </c>
      <c r="G273">
        <f t="shared" si="64"/>
        <v>1005.7375892833737</v>
      </c>
      <c r="H273" t="s">
        <v>27</v>
      </c>
      <c r="I273">
        <v>2200</v>
      </c>
      <c r="J273">
        <v>1500</v>
      </c>
      <c r="K273">
        <v>25</v>
      </c>
      <c r="L273">
        <v>7</v>
      </c>
      <c r="M273">
        <v>3</v>
      </c>
      <c r="N273">
        <f t="shared" si="62"/>
        <v>35</v>
      </c>
      <c r="O273">
        <v>0</v>
      </c>
      <c r="P273" t="str">
        <f t="shared" si="63"/>
        <v>Nem</v>
      </c>
      <c r="W273" t="b">
        <f t="shared" si="55"/>
        <v>0</v>
      </c>
      <c r="X273" t="b">
        <f t="shared" si="56"/>
        <v>0</v>
      </c>
      <c r="Y273" t="b">
        <f t="shared" si="57"/>
        <v>0</v>
      </c>
      <c r="Z273" t="b">
        <f t="shared" si="58"/>
        <v>0</v>
      </c>
      <c r="AA273" t="b">
        <f t="shared" si="59"/>
        <v>0</v>
      </c>
      <c r="AB273" t="str">
        <f t="shared" si="65"/>
        <v>nem</v>
      </c>
    </row>
    <row r="274" spans="1:28" x14ac:dyDescent="0.25">
      <c r="A274" t="s">
        <v>329</v>
      </c>
      <c r="B274" t="s">
        <v>40</v>
      </c>
      <c r="C274">
        <v>46.481732600000001</v>
      </c>
      <c r="D274">
        <f t="shared" si="60"/>
        <v>0.81125927590158442</v>
      </c>
      <c r="E274">
        <v>13.5208066</v>
      </c>
      <c r="F274">
        <f t="shared" si="61"/>
        <v>0.23598259269537994</v>
      </c>
      <c r="G274">
        <f t="shared" si="64"/>
        <v>433.51794609988474</v>
      </c>
      <c r="H274" t="s">
        <v>27</v>
      </c>
      <c r="I274">
        <v>1752</v>
      </c>
      <c r="J274">
        <v>754</v>
      </c>
      <c r="K274">
        <v>9</v>
      </c>
      <c r="L274">
        <v>11</v>
      </c>
      <c r="M274">
        <v>5</v>
      </c>
      <c r="N274">
        <f t="shared" si="62"/>
        <v>25</v>
      </c>
      <c r="O274">
        <v>0</v>
      </c>
      <c r="P274" t="str">
        <f t="shared" si="63"/>
        <v>Nem</v>
      </c>
      <c r="W274" t="b">
        <f t="shared" si="55"/>
        <v>0</v>
      </c>
      <c r="X274" t="b">
        <f t="shared" si="56"/>
        <v>0</v>
      </c>
      <c r="Y274" t="b">
        <f t="shared" si="57"/>
        <v>0</v>
      </c>
      <c r="Z274" t="b">
        <f t="shared" si="58"/>
        <v>0</v>
      </c>
      <c r="AA274" t="b">
        <f t="shared" si="59"/>
        <v>0</v>
      </c>
      <c r="AB274" t="str">
        <f t="shared" si="65"/>
        <v>nem</v>
      </c>
    </row>
    <row r="275" spans="1:28" x14ac:dyDescent="0.25">
      <c r="A275" t="s">
        <v>330</v>
      </c>
      <c r="B275" t="s">
        <v>331</v>
      </c>
      <c r="C275">
        <v>38.547732000000003</v>
      </c>
      <c r="D275">
        <f t="shared" si="60"/>
        <v>0.67278484257637883</v>
      </c>
      <c r="E275">
        <v>22.589641</v>
      </c>
      <c r="F275">
        <f t="shared" si="61"/>
        <v>0.39426361229350437</v>
      </c>
      <c r="G275">
        <f t="shared" si="64"/>
        <v>1035.8971384002955</v>
      </c>
      <c r="I275">
        <v>2300</v>
      </c>
      <c r="J275">
        <v>1600</v>
      </c>
      <c r="K275">
        <v>18</v>
      </c>
      <c r="L275">
        <v>15</v>
      </c>
      <c r="M275">
        <v>3</v>
      </c>
      <c r="N275">
        <f t="shared" si="62"/>
        <v>36</v>
      </c>
      <c r="O275">
        <v>0</v>
      </c>
      <c r="P275" t="str">
        <f t="shared" si="63"/>
        <v>Nem</v>
      </c>
      <c r="W275" t="b">
        <f t="shared" si="55"/>
        <v>0</v>
      </c>
      <c r="X275" t="b">
        <f t="shared" si="56"/>
        <v>0</v>
      </c>
      <c r="Y275" t="b">
        <f t="shared" si="57"/>
        <v>0</v>
      </c>
      <c r="Z275" t="b">
        <f t="shared" si="58"/>
        <v>0</v>
      </c>
      <c r="AA275" t="b">
        <f t="shared" si="59"/>
        <v>0</v>
      </c>
      <c r="AB275" t="str">
        <f t="shared" si="65"/>
        <v>nem</v>
      </c>
    </row>
    <row r="276" spans="1:28" x14ac:dyDescent="0.25">
      <c r="A276" t="s">
        <v>332</v>
      </c>
      <c r="B276" t="s">
        <v>26</v>
      </c>
      <c r="C276">
        <v>46.980483</v>
      </c>
      <c r="D276">
        <f t="shared" si="60"/>
        <v>0.81996411252722312</v>
      </c>
      <c r="E276">
        <v>13.050646</v>
      </c>
      <c r="F276">
        <f t="shared" si="61"/>
        <v>0.22777674221222791</v>
      </c>
      <c r="G276">
        <f t="shared" si="64"/>
        <v>455.71035242406867</v>
      </c>
      <c r="H276" t="s">
        <v>38</v>
      </c>
      <c r="I276">
        <v>2108</v>
      </c>
      <c r="J276">
        <v>1222</v>
      </c>
      <c r="K276">
        <v>5</v>
      </c>
      <c r="L276">
        <v>7</v>
      </c>
      <c r="M276">
        <v>4</v>
      </c>
      <c r="N276">
        <f t="shared" si="62"/>
        <v>16</v>
      </c>
      <c r="O276">
        <v>3</v>
      </c>
      <c r="P276" t="str">
        <f t="shared" si="63"/>
        <v>Igen</v>
      </c>
      <c r="W276" t="b">
        <f t="shared" si="55"/>
        <v>0</v>
      </c>
      <c r="X276" t="b">
        <f t="shared" si="56"/>
        <v>0</v>
      </c>
      <c r="Y276" t="b">
        <f t="shared" si="57"/>
        <v>0</v>
      </c>
      <c r="Z276">
        <f t="shared" si="58"/>
        <v>1</v>
      </c>
      <c r="AA276" t="b">
        <f t="shared" si="59"/>
        <v>1</v>
      </c>
      <c r="AB276" t="str">
        <f t="shared" si="65"/>
        <v>igen</v>
      </c>
    </row>
    <row r="277" spans="1:28" x14ac:dyDescent="0.25">
      <c r="A277" t="s">
        <v>333</v>
      </c>
      <c r="B277" t="s">
        <v>31</v>
      </c>
      <c r="C277">
        <v>49.355942499999998</v>
      </c>
      <c r="D277">
        <f t="shared" si="60"/>
        <v>0.86142370205000141</v>
      </c>
      <c r="E277">
        <v>11.1441047</v>
      </c>
      <c r="F277">
        <f t="shared" si="61"/>
        <v>0.19450131920197491</v>
      </c>
      <c r="G277">
        <f t="shared" si="64"/>
        <v>617.81304084268663</v>
      </c>
      <c r="H277" t="s">
        <v>59</v>
      </c>
      <c r="I277">
        <v>1723</v>
      </c>
      <c r="J277">
        <v>791</v>
      </c>
      <c r="K277">
        <v>0</v>
      </c>
      <c r="L277">
        <v>7</v>
      </c>
      <c r="M277">
        <v>4</v>
      </c>
      <c r="N277">
        <f t="shared" si="62"/>
        <v>11</v>
      </c>
      <c r="O277">
        <v>0</v>
      </c>
      <c r="P277" t="str">
        <f t="shared" si="63"/>
        <v>Nem</v>
      </c>
      <c r="W277" t="b">
        <f t="shared" si="55"/>
        <v>0</v>
      </c>
      <c r="X277" t="b">
        <f t="shared" si="56"/>
        <v>0</v>
      </c>
      <c r="Y277" t="b">
        <f t="shared" si="57"/>
        <v>0</v>
      </c>
      <c r="Z277" t="b">
        <f t="shared" si="58"/>
        <v>0</v>
      </c>
      <c r="AA277" t="b">
        <f t="shared" si="59"/>
        <v>0</v>
      </c>
      <c r="AB277" t="str">
        <f t="shared" si="65"/>
        <v>nem</v>
      </c>
    </row>
    <row r="278" spans="1:28" x14ac:dyDescent="0.25">
      <c r="A278" t="s">
        <v>334</v>
      </c>
      <c r="B278" t="s">
        <v>46</v>
      </c>
      <c r="C278">
        <v>56.741030799999997</v>
      </c>
      <c r="D278">
        <f t="shared" si="60"/>
        <v>0.99031780843551209</v>
      </c>
      <c r="E278">
        <v>-3.3999351999999998</v>
      </c>
      <c r="F278">
        <f t="shared" si="61"/>
        <v>-5.934006359445191E-2</v>
      </c>
      <c r="G278">
        <f t="shared" si="64"/>
        <v>1831.5890615773656</v>
      </c>
      <c r="H278" t="s">
        <v>27</v>
      </c>
      <c r="I278">
        <v>900</v>
      </c>
      <c r="J278">
        <v>650</v>
      </c>
      <c r="K278">
        <v>24</v>
      </c>
      <c r="L278">
        <v>10</v>
      </c>
      <c r="M278">
        <v>2</v>
      </c>
      <c r="N278">
        <f t="shared" si="62"/>
        <v>36</v>
      </c>
      <c r="O278">
        <v>0</v>
      </c>
      <c r="P278" t="str">
        <f t="shared" si="63"/>
        <v>Nem</v>
      </c>
      <c r="W278" t="b">
        <f t="shared" si="55"/>
        <v>0</v>
      </c>
      <c r="X278" t="b">
        <f t="shared" si="56"/>
        <v>0</v>
      </c>
      <c r="Y278" t="b">
        <f t="shared" si="57"/>
        <v>0</v>
      </c>
      <c r="Z278" t="b">
        <f t="shared" si="58"/>
        <v>0</v>
      </c>
      <c r="AA278" t="b">
        <f t="shared" si="59"/>
        <v>0</v>
      </c>
      <c r="AB278" t="str">
        <f t="shared" si="65"/>
        <v>nem</v>
      </c>
    </row>
    <row r="279" spans="1:28" x14ac:dyDescent="0.25">
      <c r="A279" t="s">
        <v>335</v>
      </c>
      <c r="B279" t="s">
        <v>40</v>
      </c>
      <c r="C279">
        <v>46.509070600000001</v>
      </c>
      <c r="D279">
        <f t="shared" si="60"/>
        <v>0.81173641401249463</v>
      </c>
      <c r="E279">
        <v>10.59678748</v>
      </c>
      <c r="F279">
        <f t="shared" si="61"/>
        <v>0.18494883166011275</v>
      </c>
      <c r="G279">
        <f t="shared" si="64"/>
        <v>649.29720467775599</v>
      </c>
      <c r="H279" t="s">
        <v>21</v>
      </c>
      <c r="I279">
        <v>3250</v>
      </c>
      <c r="J279">
        <v>1900</v>
      </c>
      <c r="K279">
        <v>17</v>
      </c>
      <c r="L279">
        <v>13</v>
      </c>
      <c r="M279">
        <v>14</v>
      </c>
      <c r="N279">
        <f t="shared" si="62"/>
        <v>44</v>
      </c>
      <c r="O279">
        <v>11</v>
      </c>
      <c r="P279" t="str">
        <f t="shared" si="63"/>
        <v>Nem</v>
      </c>
      <c r="W279" t="b">
        <f t="shared" si="55"/>
        <v>0</v>
      </c>
      <c r="X279" t="b">
        <f t="shared" si="56"/>
        <v>0</v>
      </c>
      <c r="Y279" t="b">
        <f t="shared" si="57"/>
        <v>0</v>
      </c>
      <c r="Z279" t="b">
        <f t="shared" si="58"/>
        <v>0</v>
      </c>
      <c r="AA279" t="b">
        <f t="shared" si="59"/>
        <v>0</v>
      </c>
      <c r="AB279" t="str">
        <f t="shared" si="65"/>
        <v>nem</v>
      </c>
    </row>
    <row r="280" spans="1:28" x14ac:dyDescent="0.25">
      <c r="A280" t="s">
        <v>336</v>
      </c>
      <c r="B280" t="s">
        <v>322</v>
      </c>
      <c r="C280">
        <v>45.596709799999999</v>
      </c>
      <c r="D280">
        <f t="shared" si="60"/>
        <v>0.79581271408636511</v>
      </c>
      <c r="E280">
        <v>25.556189499999999</v>
      </c>
      <c r="F280">
        <f t="shared" si="61"/>
        <v>0.44603965103860338</v>
      </c>
      <c r="G280">
        <f t="shared" si="64"/>
        <v>541.07440041163682</v>
      </c>
      <c r="H280" t="s">
        <v>27</v>
      </c>
      <c r="I280">
        <v>1799</v>
      </c>
      <c r="J280">
        <v>1021</v>
      </c>
      <c r="K280">
        <v>5</v>
      </c>
      <c r="L280">
        <v>2</v>
      </c>
      <c r="M280">
        <v>5</v>
      </c>
      <c r="N280">
        <f t="shared" si="62"/>
        <v>12</v>
      </c>
      <c r="O280">
        <v>0</v>
      </c>
      <c r="P280" t="str">
        <f t="shared" si="63"/>
        <v>Nem</v>
      </c>
      <c r="W280" t="b">
        <f t="shared" si="55"/>
        <v>0</v>
      </c>
      <c r="X280" t="b">
        <f t="shared" si="56"/>
        <v>0</v>
      </c>
      <c r="Y280" t="b">
        <f t="shared" si="57"/>
        <v>0</v>
      </c>
      <c r="Z280" t="b">
        <f t="shared" si="58"/>
        <v>0</v>
      </c>
      <c r="AA280" t="b">
        <f t="shared" si="59"/>
        <v>0</v>
      </c>
      <c r="AB280" t="str">
        <f t="shared" si="65"/>
        <v>nem</v>
      </c>
    </row>
    <row r="281" spans="1:28" x14ac:dyDescent="0.25">
      <c r="A281" t="s">
        <v>337</v>
      </c>
      <c r="B281" t="s">
        <v>26</v>
      </c>
      <c r="C281">
        <v>47.666122250000001</v>
      </c>
      <c r="D281">
        <f t="shared" si="60"/>
        <v>0.83193077492062772</v>
      </c>
      <c r="E281">
        <v>14.17403784</v>
      </c>
      <c r="F281">
        <f t="shared" si="61"/>
        <v>0.24738362861026522</v>
      </c>
      <c r="G281">
        <f t="shared" si="64"/>
        <v>365.40669375312899</v>
      </c>
      <c r="H281" t="s">
        <v>27</v>
      </c>
      <c r="I281">
        <v>2000</v>
      </c>
      <c r="J281">
        <v>600</v>
      </c>
      <c r="K281">
        <v>12</v>
      </c>
      <c r="L281">
        <v>18</v>
      </c>
      <c r="M281">
        <v>10</v>
      </c>
      <c r="N281">
        <f t="shared" si="62"/>
        <v>40</v>
      </c>
      <c r="O281">
        <v>7</v>
      </c>
      <c r="P281" t="str">
        <f t="shared" si="63"/>
        <v>Nem</v>
      </c>
      <c r="W281" t="b">
        <f t="shared" si="55"/>
        <v>0</v>
      </c>
      <c r="X281" t="b">
        <f t="shared" si="56"/>
        <v>0</v>
      </c>
      <c r="Y281" t="b">
        <f t="shared" si="57"/>
        <v>0</v>
      </c>
      <c r="Z281" t="b">
        <f t="shared" si="58"/>
        <v>0</v>
      </c>
      <c r="AA281" t="b">
        <f t="shared" si="59"/>
        <v>0</v>
      </c>
      <c r="AB281" t="str">
        <f t="shared" si="65"/>
        <v>nem</v>
      </c>
    </row>
    <row r="282" spans="1:28" x14ac:dyDescent="0.25">
      <c r="A282" t="s">
        <v>338</v>
      </c>
      <c r="B282" t="s">
        <v>43</v>
      </c>
      <c r="C282">
        <v>44.411774999999999</v>
      </c>
      <c r="D282">
        <f t="shared" si="60"/>
        <v>0.77513170040490464</v>
      </c>
      <c r="E282">
        <v>6.3510526</v>
      </c>
      <c r="F282">
        <f t="shared" si="61"/>
        <v>0.11084677883734642</v>
      </c>
      <c r="G282">
        <f t="shared" si="64"/>
        <v>1037.7850278110986</v>
      </c>
      <c r="H282" t="s">
        <v>27</v>
      </c>
      <c r="I282">
        <v>2500</v>
      </c>
      <c r="J282">
        <v>1350</v>
      </c>
      <c r="K282">
        <v>25</v>
      </c>
      <c r="L282">
        <v>20</v>
      </c>
      <c r="M282">
        <v>5</v>
      </c>
      <c r="N282">
        <f t="shared" si="62"/>
        <v>50</v>
      </c>
      <c r="O282">
        <v>0</v>
      </c>
      <c r="P282" t="str">
        <f t="shared" si="63"/>
        <v>Nem</v>
      </c>
      <c r="W282" t="b">
        <f t="shared" si="55"/>
        <v>0</v>
      </c>
      <c r="X282" t="b">
        <f t="shared" si="56"/>
        <v>0</v>
      </c>
      <c r="Y282" t="b">
        <f t="shared" si="57"/>
        <v>0</v>
      </c>
      <c r="Z282" t="b">
        <f t="shared" si="58"/>
        <v>0</v>
      </c>
      <c r="AA282" t="b">
        <f t="shared" si="59"/>
        <v>0</v>
      </c>
      <c r="AB282" t="str">
        <f t="shared" si="65"/>
        <v>nem</v>
      </c>
    </row>
    <row r="283" spans="1:28" x14ac:dyDescent="0.25">
      <c r="A283" t="s">
        <v>339</v>
      </c>
      <c r="B283" t="s">
        <v>140</v>
      </c>
      <c r="C283">
        <v>42.1694417</v>
      </c>
      <c r="D283">
        <f t="shared" si="60"/>
        <v>0.73599560139279485</v>
      </c>
      <c r="E283">
        <v>1.5696298</v>
      </c>
      <c r="F283">
        <f t="shared" si="61"/>
        <v>2.7395208047420089E-2</v>
      </c>
      <c r="G283">
        <f t="shared" si="64"/>
        <v>1495.3878354608294</v>
      </c>
      <c r="I283">
        <v>2310</v>
      </c>
      <c r="J283">
        <v>1745</v>
      </c>
      <c r="K283">
        <v>20</v>
      </c>
      <c r="L283">
        <v>15</v>
      </c>
      <c r="M283">
        <v>5</v>
      </c>
      <c r="N283">
        <f t="shared" si="62"/>
        <v>40</v>
      </c>
      <c r="O283">
        <v>0</v>
      </c>
      <c r="P283" t="str">
        <f t="shared" si="63"/>
        <v>Nem</v>
      </c>
      <c r="W283" t="b">
        <f t="shared" si="55"/>
        <v>0</v>
      </c>
      <c r="X283" t="b">
        <f t="shared" si="56"/>
        <v>0</v>
      </c>
      <c r="Y283" t="b">
        <f t="shared" si="57"/>
        <v>0</v>
      </c>
      <c r="Z283" t="b">
        <f t="shared" si="58"/>
        <v>0</v>
      </c>
      <c r="AA283" t="b">
        <f t="shared" si="59"/>
        <v>0</v>
      </c>
      <c r="AB283" t="str">
        <f t="shared" si="65"/>
        <v>nem</v>
      </c>
    </row>
    <row r="284" spans="1:28" x14ac:dyDescent="0.25">
      <c r="A284" t="s">
        <v>340</v>
      </c>
      <c r="B284" t="s">
        <v>198</v>
      </c>
      <c r="C284">
        <v>62.542363799999997</v>
      </c>
      <c r="D284">
        <f t="shared" si="60"/>
        <v>1.0915701702901124</v>
      </c>
      <c r="E284">
        <v>12.3360263</v>
      </c>
      <c r="F284">
        <f t="shared" si="61"/>
        <v>0.21530427554761378</v>
      </c>
      <c r="G284">
        <f t="shared" si="64"/>
        <v>1724.37647358651</v>
      </c>
      <c r="I284">
        <v>1038</v>
      </c>
      <c r="J284">
        <v>743</v>
      </c>
      <c r="K284">
        <v>20</v>
      </c>
      <c r="L284">
        <v>15</v>
      </c>
      <c r="M284">
        <v>3</v>
      </c>
      <c r="N284">
        <f t="shared" si="62"/>
        <v>38</v>
      </c>
      <c r="O284">
        <v>0</v>
      </c>
      <c r="P284" t="str">
        <f t="shared" si="63"/>
        <v>Nem</v>
      </c>
      <c r="W284" t="b">
        <f t="shared" si="55"/>
        <v>0</v>
      </c>
      <c r="X284" t="b">
        <f t="shared" si="56"/>
        <v>0</v>
      </c>
      <c r="Y284" t="b">
        <f t="shared" si="57"/>
        <v>0</v>
      </c>
      <c r="Z284" t="b">
        <f t="shared" si="58"/>
        <v>0</v>
      </c>
      <c r="AA284" t="b">
        <f t="shared" si="59"/>
        <v>0</v>
      </c>
      <c r="AB284" t="str">
        <f t="shared" si="65"/>
        <v>nem</v>
      </c>
    </row>
    <row r="285" spans="1:28" x14ac:dyDescent="0.25">
      <c r="A285" t="s">
        <v>341</v>
      </c>
      <c r="B285" t="s">
        <v>31</v>
      </c>
      <c r="C285">
        <v>47.86345025</v>
      </c>
      <c r="D285">
        <f t="shared" si="60"/>
        <v>0.835374798227003</v>
      </c>
      <c r="E285">
        <v>8.0702822320000003</v>
      </c>
      <c r="F285">
        <f t="shared" si="61"/>
        <v>0.1408529965135969</v>
      </c>
      <c r="G285">
        <f t="shared" si="64"/>
        <v>821.55985370290091</v>
      </c>
      <c r="H285" t="s">
        <v>27</v>
      </c>
      <c r="I285">
        <v>1448</v>
      </c>
      <c r="J285">
        <v>888</v>
      </c>
      <c r="K285">
        <v>7</v>
      </c>
      <c r="L285">
        <v>14</v>
      </c>
      <c r="M285">
        <v>5</v>
      </c>
      <c r="N285">
        <f t="shared" si="62"/>
        <v>26</v>
      </c>
      <c r="O285">
        <v>3</v>
      </c>
      <c r="P285" t="str">
        <f t="shared" si="63"/>
        <v>Nem</v>
      </c>
      <c r="W285" t="b">
        <f t="shared" si="55"/>
        <v>0</v>
      </c>
      <c r="X285" t="b">
        <f t="shared" si="56"/>
        <v>0</v>
      </c>
      <c r="Y285" t="b">
        <f t="shared" si="57"/>
        <v>0</v>
      </c>
      <c r="Z285" t="b">
        <f t="shared" si="58"/>
        <v>0</v>
      </c>
      <c r="AA285" t="b">
        <f t="shared" si="59"/>
        <v>0</v>
      </c>
      <c r="AB285" t="str">
        <f t="shared" si="65"/>
        <v>nem</v>
      </c>
    </row>
    <row r="286" spans="1:28" x14ac:dyDescent="0.25">
      <c r="A286" t="s">
        <v>342</v>
      </c>
      <c r="B286" t="s">
        <v>26</v>
      </c>
      <c r="C286">
        <v>46.926915000000001</v>
      </c>
      <c r="D286">
        <f t="shared" si="60"/>
        <v>0.81902917455351487</v>
      </c>
      <c r="E286">
        <v>10.87096</v>
      </c>
      <c r="F286">
        <f t="shared" si="61"/>
        <v>0.18973404485260276</v>
      </c>
      <c r="G286">
        <f t="shared" si="64"/>
        <v>620.01413647056972</v>
      </c>
      <c r="H286" t="s">
        <v>109</v>
      </c>
      <c r="I286">
        <v>2685</v>
      </c>
      <c r="J286">
        <v>1740</v>
      </c>
      <c r="K286">
        <v>3</v>
      </c>
      <c r="L286">
        <v>16</v>
      </c>
      <c r="M286">
        <v>0</v>
      </c>
      <c r="N286">
        <f t="shared" si="62"/>
        <v>19</v>
      </c>
      <c r="O286">
        <v>4</v>
      </c>
      <c r="P286" t="str">
        <f t="shared" si="63"/>
        <v>Nem</v>
      </c>
      <c r="W286" t="b">
        <f t="shared" si="55"/>
        <v>0</v>
      </c>
      <c r="X286" t="b">
        <f t="shared" si="56"/>
        <v>0</v>
      </c>
      <c r="Y286" t="b">
        <f t="shared" si="57"/>
        <v>0</v>
      </c>
      <c r="Z286" t="b">
        <f t="shared" si="58"/>
        <v>0</v>
      </c>
      <c r="AA286" t="b">
        <f t="shared" si="59"/>
        <v>0</v>
      </c>
      <c r="AB286" t="str">
        <f t="shared" si="65"/>
        <v>nem</v>
      </c>
    </row>
    <row r="287" spans="1:28" x14ac:dyDescent="0.25">
      <c r="A287" t="s">
        <v>343</v>
      </c>
      <c r="B287" t="s">
        <v>26</v>
      </c>
      <c r="C287">
        <v>47.577280950000002</v>
      </c>
      <c r="D287">
        <f t="shared" si="60"/>
        <v>0.83038020172387572</v>
      </c>
      <c r="E287">
        <v>13.984784449999999</v>
      </c>
      <c r="F287">
        <f t="shared" si="61"/>
        <v>0.24408053383420431</v>
      </c>
      <c r="G287">
        <f t="shared" si="64"/>
        <v>379.54008211623756</v>
      </c>
      <c r="H287" t="s">
        <v>27</v>
      </c>
      <c r="I287">
        <v>896</v>
      </c>
      <c r="J287">
        <v>812</v>
      </c>
      <c r="K287">
        <v>18</v>
      </c>
      <c r="L287">
        <v>18</v>
      </c>
      <c r="M287">
        <v>6</v>
      </c>
      <c r="N287">
        <f t="shared" si="62"/>
        <v>42</v>
      </c>
      <c r="O287">
        <v>6</v>
      </c>
      <c r="P287" t="str">
        <f t="shared" si="63"/>
        <v>Nem</v>
      </c>
      <c r="W287" t="b">
        <f t="shared" si="55"/>
        <v>0</v>
      </c>
      <c r="X287" t="b">
        <f t="shared" si="56"/>
        <v>0</v>
      </c>
      <c r="Y287" t="b">
        <f t="shared" si="57"/>
        <v>0</v>
      </c>
      <c r="Z287" t="b">
        <f t="shared" si="58"/>
        <v>0</v>
      </c>
      <c r="AA287" t="b">
        <f t="shared" si="59"/>
        <v>0</v>
      </c>
      <c r="AB287" t="str">
        <f t="shared" si="65"/>
        <v>nem</v>
      </c>
    </row>
    <row r="288" spans="1:28" x14ac:dyDescent="0.25">
      <c r="A288" t="s">
        <v>344</v>
      </c>
      <c r="B288" t="s">
        <v>26</v>
      </c>
      <c r="C288">
        <v>47.221724649999999</v>
      </c>
      <c r="D288">
        <f t="shared" si="60"/>
        <v>0.82417457361266688</v>
      </c>
      <c r="E288">
        <v>11.02137443</v>
      </c>
      <c r="F288">
        <f t="shared" si="61"/>
        <v>0.19235927189861329</v>
      </c>
      <c r="G288">
        <f t="shared" si="64"/>
        <v>604.51213417248914</v>
      </c>
      <c r="H288" t="s">
        <v>27</v>
      </c>
      <c r="I288">
        <v>1410</v>
      </c>
      <c r="J288">
        <v>820</v>
      </c>
      <c r="K288">
        <v>12</v>
      </c>
      <c r="L288">
        <v>21</v>
      </c>
      <c r="M288">
        <v>3</v>
      </c>
      <c r="N288">
        <f t="shared" si="62"/>
        <v>36</v>
      </c>
      <c r="O288">
        <v>5</v>
      </c>
      <c r="P288" t="str">
        <f t="shared" si="63"/>
        <v>Nem</v>
      </c>
      <c r="W288" t="b">
        <f t="shared" si="55"/>
        <v>0</v>
      </c>
      <c r="X288" t="b">
        <f t="shared" si="56"/>
        <v>0</v>
      </c>
      <c r="Y288" t="b">
        <f t="shared" si="57"/>
        <v>0</v>
      </c>
      <c r="Z288" t="b">
        <f t="shared" si="58"/>
        <v>0</v>
      </c>
      <c r="AA288" t="b">
        <f t="shared" si="59"/>
        <v>0</v>
      </c>
      <c r="AB288" t="str">
        <f t="shared" si="65"/>
        <v>nem</v>
      </c>
    </row>
    <row r="289" spans="1:28" x14ac:dyDescent="0.25">
      <c r="A289" t="s">
        <v>345</v>
      </c>
      <c r="B289" t="s">
        <v>26</v>
      </c>
      <c r="C289">
        <v>47.330727000000003</v>
      </c>
      <c r="D289">
        <f t="shared" si="60"/>
        <v>0.82607702351257828</v>
      </c>
      <c r="E289">
        <v>11.199870499999999</v>
      </c>
      <c r="F289">
        <f t="shared" si="61"/>
        <v>0.19547461602198357</v>
      </c>
      <c r="G289">
        <f t="shared" si="64"/>
        <v>589.98837183302919</v>
      </c>
      <c r="H289" t="s">
        <v>27</v>
      </c>
      <c r="I289">
        <v>2064</v>
      </c>
      <c r="J289">
        <v>1230</v>
      </c>
      <c r="K289">
        <v>10</v>
      </c>
      <c r="L289">
        <v>9</v>
      </c>
      <c r="M289">
        <v>1</v>
      </c>
      <c r="N289">
        <f t="shared" si="62"/>
        <v>20</v>
      </c>
      <c r="O289">
        <v>4</v>
      </c>
      <c r="P289" t="str">
        <f t="shared" si="63"/>
        <v>Nem</v>
      </c>
      <c r="W289" t="b">
        <f t="shared" ref="W289:W352" si="66">IFERROR(SEARCH("Jún",H289), FALSE)</f>
        <v>0</v>
      </c>
      <c r="X289" t="b">
        <f t="shared" ref="X289:X352" si="67">IFERROR(SEARCH("Júl",H289), FALSE)</f>
        <v>0</v>
      </c>
      <c r="Y289" t="b">
        <f t="shared" ref="Y289:Y352" si="68">IFERROR(SEARCH("Aug",H289), FALSE)</f>
        <v>0</v>
      </c>
      <c r="Z289" t="b">
        <f t="shared" ref="Z289:Z352" si="69">IFERROR(SEARCH("Egész évben",H289), FALSE)</f>
        <v>0</v>
      </c>
      <c r="AA289" t="b">
        <f t="shared" ref="AA289:AA352" si="70">OR(W289,X289,Y289,Z289)</f>
        <v>0</v>
      </c>
      <c r="AB289" t="str">
        <f t="shared" si="65"/>
        <v>nem</v>
      </c>
    </row>
    <row r="290" spans="1:28" x14ac:dyDescent="0.25">
      <c r="A290" t="s">
        <v>346</v>
      </c>
      <c r="B290" t="s">
        <v>347</v>
      </c>
      <c r="C290">
        <v>47.102618999999997</v>
      </c>
      <c r="D290">
        <f t="shared" si="60"/>
        <v>0.82209578786243886</v>
      </c>
      <c r="E290">
        <v>9.6083069000000005</v>
      </c>
      <c r="F290">
        <f t="shared" si="61"/>
        <v>0.16769659094708955</v>
      </c>
      <c r="G290">
        <f t="shared" si="64"/>
        <v>712.15568731843632</v>
      </c>
      <c r="H290" t="s">
        <v>27</v>
      </c>
      <c r="I290">
        <v>2000</v>
      </c>
      <c r="J290">
        <v>1600</v>
      </c>
      <c r="K290">
        <v>11</v>
      </c>
      <c r="L290">
        <v>9</v>
      </c>
      <c r="M290">
        <v>3</v>
      </c>
      <c r="N290">
        <f t="shared" si="62"/>
        <v>23</v>
      </c>
      <c r="O290">
        <v>4</v>
      </c>
      <c r="P290" t="str">
        <f t="shared" si="63"/>
        <v>Nem</v>
      </c>
      <c r="W290" t="b">
        <f t="shared" si="66"/>
        <v>0</v>
      </c>
      <c r="X290" t="b">
        <f t="shared" si="67"/>
        <v>0</v>
      </c>
      <c r="Y290" t="b">
        <f t="shared" si="68"/>
        <v>0</v>
      </c>
      <c r="Z290" t="b">
        <f t="shared" si="69"/>
        <v>0</v>
      </c>
      <c r="AA290" t="b">
        <f t="shared" si="70"/>
        <v>0</v>
      </c>
      <c r="AB290" t="str">
        <f t="shared" si="65"/>
        <v>nem</v>
      </c>
    </row>
    <row r="291" spans="1:28" x14ac:dyDescent="0.25">
      <c r="A291" t="s">
        <v>348</v>
      </c>
      <c r="B291" t="s">
        <v>316</v>
      </c>
      <c r="C291">
        <v>50.297522600000001</v>
      </c>
      <c r="D291">
        <f t="shared" si="60"/>
        <v>0.87785737496625882</v>
      </c>
      <c r="E291">
        <v>17.011678400000001</v>
      </c>
      <c r="F291">
        <f t="shared" si="61"/>
        <v>0.29690979937040096</v>
      </c>
      <c r="G291">
        <f t="shared" si="64"/>
        <v>344.78330239673102</v>
      </c>
      <c r="H291" t="s">
        <v>27</v>
      </c>
      <c r="I291">
        <v>1202</v>
      </c>
      <c r="J291">
        <v>854</v>
      </c>
      <c r="K291">
        <v>3</v>
      </c>
      <c r="L291">
        <v>3</v>
      </c>
      <c r="M291">
        <v>0</v>
      </c>
      <c r="N291">
        <f t="shared" si="62"/>
        <v>6</v>
      </c>
      <c r="O291">
        <v>1</v>
      </c>
      <c r="P291" t="str">
        <f t="shared" si="63"/>
        <v>Nem</v>
      </c>
      <c r="W291" t="b">
        <f t="shared" si="66"/>
        <v>0</v>
      </c>
      <c r="X291" t="b">
        <f t="shared" si="67"/>
        <v>0</v>
      </c>
      <c r="Y291" t="b">
        <f t="shared" si="68"/>
        <v>0</v>
      </c>
      <c r="Z291" t="b">
        <f t="shared" si="69"/>
        <v>0</v>
      </c>
      <c r="AA291" t="b">
        <f t="shared" si="70"/>
        <v>0</v>
      </c>
      <c r="AB291" t="str">
        <f t="shared" si="65"/>
        <v>nem</v>
      </c>
    </row>
    <row r="292" spans="1:28" x14ac:dyDescent="0.25">
      <c r="A292" t="s">
        <v>349</v>
      </c>
      <c r="B292" t="s">
        <v>26</v>
      </c>
      <c r="C292">
        <v>47.376599349999999</v>
      </c>
      <c r="D292">
        <f t="shared" si="60"/>
        <v>0.82687764705570543</v>
      </c>
      <c r="E292">
        <v>14.105321350000001</v>
      </c>
      <c r="F292">
        <f t="shared" si="61"/>
        <v>0.24618429960935148</v>
      </c>
      <c r="G292">
        <f t="shared" si="64"/>
        <v>371.34699946339038</v>
      </c>
      <c r="H292" t="s">
        <v>27</v>
      </c>
      <c r="I292">
        <v>1820</v>
      </c>
      <c r="J292">
        <v>950</v>
      </c>
      <c r="K292">
        <v>15</v>
      </c>
      <c r="L292">
        <v>12</v>
      </c>
      <c r="M292">
        <v>3</v>
      </c>
      <c r="N292">
        <f t="shared" si="62"/>
        <v>30</v>
      </c>
      <c r="O292">
        <v>7</v>
      </c>
      <c r="P292" t="str">
        <f t="shared" si="63"/>
        <v>Nem</v>
      </c>
      <c r="W292" t="b">
        <f t="shared" si="66"/>
        <v>0</v>
      </c>
      <c r="X292" t="b">
        <f t="shared" si="67"/>
        <v>0</v>
      </c>
      <c r="Y292" t="b">
        <f t="shared" si="68"/>
        <v>0</v>
      </c>
      <c r="Z292" t="b">
        <f t="shared" si="69"/>
        <v>0</v>
      </c>
      <c r="AA292" t="b">
        <f t="shared" si="70"/>
        <v>0</v>
      </c>
      <c r="AB292" t="str">
        <f t="shared" si="65"/>
        <v>nem</v>
      </c>
    </row>
    <row r="293" spans="1:28" x14ac:dyDescent="0.25">
      <c r="A293" t="s">
        <v>350</v>
      </c>
      <c r="B293" t="s">
        <v>26</v>
      </c>
      <c r="C293">
        <v>47.413147799999997</v>
      </c>
      <c r="D293">
        <f t="shared" si="60"/>
        <v>0.82751553784470588</v>
      </c>
      <c r="E293">
        <v>10.74173242</v>
      </c>
      <c r="F293">
        <f t="shared" si="61"/>
        <v>0.1874785980972184</v>
      </c>
      <c r="G293">
        <f t="shared" si="64"/>
        <v>623.70441730947027</v>
      </c>
      <c r="H293" t="s">
        <v>27</v>
      </c>
      <c r="I293">
        <v>1743</v>
      </c>
      <c r="J293">
        <v>1067</v>
      </c>
      <c r="K293">
        <v>24</v>
      </c>
      <c r="L293">
        <v>10</v>
      </c>
      <c r="M293">
        <v>1</v>
      </c>
      <c r="N293">
        <f t="shared" si="62"/>
        <v>35</v>
      </c>
      <c r="O293">
        <v>3</v>
      </c>
      <c r="P293" t="str">
        <f t="shared" si="63"/>
        <v>Nem</v>
      </c>
      <c r="W293" t="b">
        <f t="shared" si="66"/>
        <v>0</v>
      </c>
      <c r="X293" t="b">
        <f t="shared" si="67"/>
        <v>0</v>
      </c>
      <c r="Y293" t="b">
        <f t="shared" si="68"/>
        <v>0</v>
      </c>
      <c r="Z293" t="b">
        <f t="shared" si="69"/>
        <v>0</v>
      </c>
      <c r="AA293" t="b">
        <f t="shared" si="70"/>
        <v>0</v>
      </c>
      <c r="AB293" t="str">
        <f t="shared" si="65"/>
        <v>nem</v>
      </c>
    </row>
    <row r="294" spans="1:28" x14ac:dyDescent="0.25">
      <c r="A294" t="s">
        <v>351</v>
      </c>
      <c r="B294" t="s">
        <v>26</v>
      </c>
      <c r="C294">
        <v>47.207597700000001</v>
      </c>
      <c r="D294">
        <f t="shared" si="60"/>
        <v>0.82392801182190234</v>
      </c>
      <c r="E294">
        <v>11.528383699999999</v>
      </c>
      <c r="F294">
        <f t="shared" si="61"/>
        <v>0.20120825299824618</v>
      </c>
      <c r="G294">
        <f t="shared" si="64"/>
        <v>566.58588157262363</v>
      </c>
      <c r="H294" t="s">
        <v>27</v>
      </c>
      <c r="I294">
        <v>2304</v>
      </c>
      <c r="J294">
        <v>950</v>
      </c>
      <c r="K294">
        <v>7</v>
      </c>
      <c r="L294">
        <v>15</v>
      </c>
      <c r="M294">
        <v>0</v>
      </c>
      <c r="N294">
        <f t="shared" si="62"/>
        <v>22</v>
      </c>
      <c r="O294">
        <v>15</v>
      </c>
      <c r="P294" t="str">
        <f t="shared" si="63"/>
        <v>Nem</v>
      </c>
      <c r="W294" t="b">
        <f t="shared" si="66"/>
        <v>0</v>
      </c>
      <c r="X294" t="b">
        <f t="shared" si="67"/>
        <v>0</v>
      </c>
      <c r="Y294" t="b">
        <f t="shared" si="68"/>
        <v>0</v>
      </c>
      <c r="Z294" t="b">
        <f t="shared" si="69"/>
        <v>0</v>
      </c>
      <c r="AA294" t="b">
        <f t="shared" si="70"/>
        <v>0</v>
      </c>
      <c r="AB294" t="str">
        <f t="shared" si="65"/>
        <v>nem</v>
      </c>
    </row>
    <row r="295" spans="1:28" x14ac:dyDescent="0.25">
      <c r="A295" t="s">
        <v>352</v>
      </c>
      <c r="B295" t="s">
        <v>26</v>
      </c>
      <c r="C295">
        <v>47.148901799999997</v>
      </c>
      <c r="D295">
        <f t="shared" si="60"/>
        <v>0.82290357510948098</v>
      </c>
      <c r="E295">
        <v>13.693225200000001</v>
      </c>
      <c r="F295">
        <f t="shared" si="61"/>
        <v>0.23899186495705904</v>
      </c>
      <c r="G295">
        <f t="shared" si="64"/>
        <v>404.81101596408291</v>
      </c>
      <c r="H295" t="s">
        <v>27</v>
      </c>
      <c r="I295">
        <v>2115</v>
      </c>
      <c r="J295">
        <v>1497</v>
      </c>
      <c r="K295">
        <v>11</v>
      </c>
      <c r="L295">
        <v>5</v>
      </c>
      <c r="M295">
        <v>7</v>
      </c>
      <c r="N295">
        <f t="shared" si="62"/>
        <v>23</v>
      </c>
      <c r="O295">
        <v>4</v>
      </c>
      <c r="P295" t="str">
        <f t="shared" si="63"/>
        <v>Nem</v>
      </c>
      <c r="W295" t="b">
        <f t="shared" si="66"/>
        <v>0</v>
      </c>
      <c r="X295" t="b">
        <f t="shared" si="67"/>
        <v>0</v>
      </c>
      <c r="Y295" t="b">
        <f t="shared" si="68"/>
        <v>0</v>
      </c>
      <c r="Z295" t="b">
        <f t="shared" si="69"/>
        <v>0</v>
      </c>
      <c r="AA295" t="b">
        <f t="shared" si="70"/>
        <v>0</v>
      </c>
      <c r="AB295" t="str">
        <f t="shared" si="65"/>
        <v>nem</v>
      </c>
    </row>
    <row r="296" spans="1:28" x14ac:dyDescent="0.25">
      <c r="A296" t="s">
        <v>353</v>
      </c>
      <c r="B296" t="s">
        <v>26</v>
      </c>
      <c r="C296">
        <v>46.91448535</v>
      </c>
      <c r="D296">
        <f t="shared" si="60"/>
        <v>0.8188122362361443</v>
      </c>
      <c r="E296">
        <v>13.873524440000001</v>
      </c>
      <c r="F296">
        <f t="shared" si="61"/>
        <v>0.24213868033390251</v>
      </c>
      <c r="G296">
        <f t="shared" si="64"/>
        <v>395.57871344458232</v>
      </c>
      <c r="H296" t="s">
        <v>21</v>
      </c>
      <c r="I296">
        <v>2205</v>
      </c>
      <c r="J296">
        <v>1400</v>
      </c>
      <c r="K296">
        <v>14</v>
      </c>
      <c r="L296">
        <v>24</v>
      </c>
      <c r="M296">
        <v>3</v>
      </c>
      <c r="N296">
        <f t="shared" si="62"/>
        <v>41</v>
      </c>
      <c r="O296">
        <v>3</v>
      </c>
      <c r="P296" t="str">
        <f t="shared" si="63"/>
        <v>Nem</v>
      </c>
      <c r="W296" t="b">
        <f t="shared" si="66"/>
        <v>0</v>
      </c>
      <c r="X296" t="b">
        <f t="shared" si="67"/>
        <v>0</v>
      </c>
      <c r="Y296" t="b">
        <f t="shared" si="68"/>
        <v>0</v>
      </c>
      <c r="Z296" t="b">
        <f t="shared" si="69"/>
        <v>0</v>
      </c>
      <c r="AA296" t="b">
        <f t="shared" si="70"/>
        <v>0</v>
      </c>
      <c r="AB296" t="str">
        <f t="shared" si="65"/>
        <v>nem</v>
      </c>
    </row>
    <row r="297" spans="1:28" x14ac:dyDescent="0.25">
      <c r="A297" t="s">
        <v>354</v>
      </c>
      <c r="B297" t="s">
        <v>355</v>
      </c>
      <c r="C297">
        <v>54.031730000000003</v>
      </c>
      <c r="D297">
        <f t="shared" si="60"/>
        <v>0.94303158904859585</v>
      </c>
      <c r="E297">
        <v>23.960042000000001</v>
      </c>
      <c r="F297">
        <f t="shared" si="61"/>
        <v>0.41818162181612722</v>
      </c>
      <c r="G297">
        <f t="shared" si="64"/>
        <v>804.24575602773734</v>
      </c>
      <c r="H297" t="s">
        <v>38</v>
      </c>
      <c r="I297">
        <v>163</v>
      </c>
      <c r="J297">
        <v>97</v>
      </c>
      <c r="K297">
        <v>1</v>
      </c>
      <c r="L297">
        <v>0</v>
      </c>
      <c r="M297">
        <v>0</v>
      </c>
      <c r="N297">
        <f t="shared" si="62"/>
        <v>1</v>
      </c>
      <c r="O297">
        <v>0</v>
      </c>
      <c r="P297" t="str">
        <f t="shared" si="63"/>
        <v>Igen</v>
      </c>
      <c r="W297" t="b">
        <f t="shared" si="66"/>
        <v>0</v>
      </c>
      <c r="X297" t="b">
        <f t="shared" si="67"/>
        <v>0</v>
      </c>
      <c r="Y297" t="b">
        <f t="shared" si="68"/>
        <v>0</v>
      </c>
      <c r="Z297">
        <f t="shared" si="69"/>
        <v>1</v>
      </c>
      <c r="AA297" t="b">
        <f t="shared" si="70"/>
        <v>1</v>
      </c>
      <c r="AB297" t="str">
        <f t="shared" si="65"/>
        <v>igen</v>
      </c>
    </row>
    <row r="298" spans="1:28" x14ac:dyDescent="0.25">
      <c r="A298" t="s">
        <v>356</v>
      </c>
      <c r="B298" t="s">
        <v>26</v>
      </c>
      <c r="C298">
        <v>47.400290200000001</v>
      </c>
      <c r="D298">
        <f t="shared" si="60"/>
        <v>0.82729113039080149</v>
      </c>
      <c r="E298">
        <v>9.9376361000000006</v>
      </c>
      <c r="F298">
        <f t="shared" si="61"/>
        <v>0.17344446981004846</v>
      </c>
      <c r="G298">
        <f t="shared" si="64"/>
        <v>684.16473091569901</v>
      </c>
      <c r="H298" t="s">
        <v>59</v>
      </c>
      <c r="I298">
        <v>1715</v>
      </c>
      <c r="J298">
        <v>655</v>
      </c>
      <c r="K298">
        <v>5</v>
      </c>
      <c r="L298">
        <v>4</v>
      </c>
      <c r="M298">
        <v>1</v>
      </c>
      <c r="N298">
        <f t="shared" si="62"/>
        <v>10</v>
      </c>
      <c r="O298">
        <v>0</v>
      </c>
      <c r="P298" t="str">
        <f t="shared" si="63"/>
        <v>Nem</v>
      </c>
      <c r="W298" t="b">
        <f t="shared" si="66"/>
        <v>0</v>
      </c>
      <c r="X298" t="b">
        <f t="shared" si="67"/>
        <v>0</v>
      </c>
      <c r="Y298" t="b">
        <f t="shared" si="68"/>
        <v>0</v>
      </c>
      <c r="Z298" t="b">
        <f t="shared" si="69"/>
        <v>0</v>
      </c>
      <c r="AA298" t="b">
        <f t="shared" si="70"/>
        <v>0</v>
      </c>
      <c r="AB298" t="str">
        <f t="shared" si="65"/>
        <v>nem</v>
      </c>
    </row>
    <row r="299" spans="1:28" x14ac:dyDescent="0.25">
      <c r="A299" t="s">
        <v>357</v>
      </c>
      <c r="B299" t="s">
        <v>26</v>
      </c>
      <c r="C299">
        <v>47.627997700000002</v>
      </c>
      <c r="D299">
        <f t="shared" si="60"/>
        <v>0.83126537599728656</v>
      </c>
      <c r="E299">
        <v>14.316278499999999</v>
      </c>
      <c r="F299">
        <f t="shared" si="61"/>
        <v>0.24986619645747501</v>
      </c>
      <c r="G299">
        <f t="shared" si="64"/>
        <v>354.68837805021582</v>
      </c>
      <c r="H299" t="s">
        <v>27</v>
      </c>
      <c r="I299">
        <v>1870</v>
      </c>
      <c r="J299">
        <v>810</v>
      </c>
      <c r="K299">
        <v>10</v>
      </c>
      <c r="L299">
        <v>10</v>
      </c>
      <c r="M299">
        <v>2</v>
      </c>
      <c r="N299">
        <f t="shared" si="62"/>
        <v>22</v>
      </c>
      <c r="O299">
        <v>4</v>
      </c>
      <c r="P299" t="str">
        <f t="shared" si="63"/>
        <v>Nem</v>
      </c>
      <c r="W299" t="b">
        <f t="shared" si="66"/>
        <v>0</v>
      </c>
      <c r="X299" t="b">
        <f t="shared" si="67"/>
        <v>0</v>
      </c>
      <c r="Y299" t="b">
        <f t="shared" si="68"/>
        <v>0</v>
      </c>
      <c r="Z299" t="b">
        <f t="shared" si="69"/>
        <v>0</v>
      </c>
      <c r="AA299" t="b">
        <f t="shared" si="70"/>
        <v>0</v>
      </c>
      <c r="AB299" t="str">
        <f t="shared" si="65"/>
        <v>nem</v>
      </c>
    </row>
    <row r="300" spans="1:28" x14ac:dyDescent="0.25">
      <c r="A300" t="s">
        <v>358</v>
      </c>
      <c r="B300" t="s">
        <v>26</v>
      </c>
      <c r="C300">
        <v>47.520849800000001</v>
      </c>
      <c r="D300">
        <f t="shared" si="60"/>
        <v>0.82939529235568887</v>
      </c>
      <c r="E300">
        <v>14.9512205</v>
      </c>
      <c r="F300">
        <f t="shared" si="61"/>
        <v>0.26094802491667285</v>
      </c>
      <c r="G300">
        <f t="shared" si="64"/>
        <v>307.09609982371325</v>
      </c>
      <c r="H300" t="s">
        <v>27</v>
      </c>
      <c r="I300">
        <v>1608</v>
      </c>
      <c r="J300">
        <v>1100</v>
      </c>
      <c r="K300">
        <v>6</v>
      </c>
      <c r="L300">
        <v>11</v>
      </c>
      <c r="M300">
        <v>3</v>
      </c>
      <c r="N300">
        <f t="shared" si="62"/>
        <v>20</v>
      </c>
      <c r="O300">
        <v>0</v>
      </c>
      <c r="P300" t="str">
        <f t="shared" si="63"/>
        <v>Nem</v>
      </c>
      <c r="W300" t="b">
        <f t="shared" si="66"/>
        <v>0</v>
      </c>
      <c r="X300" t="b">
        <f t="shared" si="67"/>
        <v>0</v>
      </c>
      <c r="Y300" t="b">
        <f t="shared" si="68"/>
        <v>0</v>
      </c>
      <c r="Z300" t="b">
        <f t="shared" si="69"/>
        <v>0</v>
      </c>
      <c r="AA300" t="b">
        <f t="shared" si="70"/>
        <v>0</v>
      </c>
      <c r="AB300" t="str">
        <f t="shared" si="65"/>
        <v>nem</v>
      </c>
    </row>
    <row r="301" spans="1:28" x14ac:dyDescent="0.25">
      <c r="A301" t="s">
        <v>359</v>
      </c>
      <c r="B301" t="s">
        <v>40</v>
      </c>
      <c r="C301">
        <v>46.795277800000001</v>
      </c>
      <c r="D301">
        <f t="shared" si="60"/>
        <v>0.81673167199540853</v>
      </c>
      <c r="E301">
        <v>11.0895074</v>
      </c>
      <c r="F301">
        <f t="shared" si="61"/>
        <v>0.19354841655427582</v>
      </c>
      <c r="G301">
        <f t="shared" si="64"/>
        <v>606.06595031295296</v>
      </c>
      <c r="H301" t="s">
        <v>27</v>
      </c>
      <c r="I301">
        <v>2502</v>
      </c>
      <c r="J301">
        <v>1601</v>
      </c>
      <c r="K301">
        <v>5</v>
      </c>
      <c r="L301">
        <v>9</v>
      </c>
      <c r="M301">
        <v>4</v>
      </c>
      <c r="N301">
        <f t="shared" si="62"/>
        <v>18</v>
      </c>
      <c r="O301">
        <v>0</v>
      </c>
      <c r="P301" t="str">
        <f t="shared" si="63"/>
        <v>Nem</v>
      </c>
      <c r="W301" t="b">
        <f t="shared" si="66"/>
        <v>0</v>
      </c>
      <c r="X301" t="b">
        <f t="shared" si="67"/>
        <v>0</v>
      </c>
      <c r="Y301" t="b">
        <f t="shared" si="68"/>
        <v>0</v>
      </c>
      <c r="Z301" t="b">
        <f t="shared" si="69"/>
        <v>0</v>
      </c>
      <c r="AA301" t="b">
        <f t="shared" si="70"/>
        <v>0</v>
      </c>
      <c r="AB301" t="str">
        <f t="shared" si="65"/>
        <v>nem</v>
      </c>
    </row>
    <row r="302" spans="1:28" x14ac:dyDescent="0.25">
      <c r="A302" t="s">
        <v>360</v>
      </c>
      <c r="B302" t="s">
        <v>31</v>
      </c>
      <c r="C302">
        <v>48.888874000000001</v>
      </c>
      <c r="D302">
        <f t="shared" si="60"/>
        <v>0.85327181889265025</v>
      </c>
      <c r="E302">
        <v>13.643594999999999</v>
      </c>
      <c r="F302">
        <f t="shared" si="61"/>
        <v>0.23812565455863574</v>
      </c>
      <c r="G302">
        <f t="shared" si="64"/>
        <v>428.7634282534724</v>
      </c>
      <c r="H302" t="s">
        <v>59</v>
      </c>
      <c r="I302">
        <v>1139</v>
      </c>
      <c r="J302">
        <v>841</v>
      </c>
      <c r="K302">
        <v>2</v>
      </c>
      <c r="L302">
        <v>2</v>
      </c>
      <c r="M302">
        <v>1</v>
      </c>
      <c r="N302">
        <f t="shared" si="62"/>
        <v>5</v>
      </c>
      <c r="O302">
        <v>2</v>
      </c>
      <c r="P302" t="str">
        <f t="shared" si="63"/>
        <v>Nem</v>
      </c>
      <c r="W302" t="b">
        <f t="shared" si="66"/>
        <v>0</v>
      </c>
      <c r="X302" t="b">
        <f t="shared" si="67"/>
        <v>0</v>
      </c>
      <c r="Y302" t="b">
        <f t="shared" si="68"/>
        <v>0</v>
      </c>
      <c r="Z302" t="b">
        <f t="shared" si="69"/>
        <v>0</v>
      </c>
      <c r="AA302" t="b">
        <f t="shared" si="70"/>
        <v>0</v>
      </c>
      <c r="AB302" t="str">
        <f t="shared" si="65"/>
        <v>nem</v>
      </c>
    </row>
    <row r="303" spans="1:28" x14ac:dyDescent="0.25">
      <c r="A303" t="s">
        <v>361</v>
      </c>
      <c r="B303" t="s">
        <v>40</v>
      </c>
      <c r="C303">
        <v>45.941289349999998</v>
      </c>
      <c r="D303">
        <f t="shared" si="60"/>
        <v>0.80182676176890555</v>
      </c>
      <c r="E303">
        <v>11.28863808</v>
      </c>
      <c r="F303">
        <f t="shared" si="61"/>
        <v>0.19702390256201105</v>
      </c>
      <c r="G303">
        <f t="shared" si="64"/>
        <v>615.44115831526938</v>
      </c>
      <c r="H303" t="s">
        <v>27</v>
      </c>
      <c r="I303">
        <v>1650</v>
      </c>
      <c r="J303">
        <v>1150</v>
      </c>
      <c r="K303">
        <v>19</v>
      </c>
      <c r="L303">
        <v>5</v>
      </c>
      <c r="M303">
        <v>2</v>
      </c>
      <c r="N303">
        <f t="shared" si="62"/>
        <v>26</v>
      </c>
      <c r="O303">
        <v>0</v>
      </c>
      <c r="P303" t="str">
        <f t="shared" si="63"/>
        <v>Nem</v>
      </c>
      <c r="W303" t="b">
        <f t="shared" si="66"/>
        <v>0</v>
      </c>
      <c r="X303" t="b">
        <f t="shared" si="67"/>
        <v>0</v>
      </c>
      <c r="Y303" t="b">
        <f t="shared" si="68"/>
        <v>0</v>
      </c>
      <c r="Z303" t="b">
        <f t="shared" si="69"/>
        <v>0</v>
      </c>
      <c r="AA303" t="b">
        <f t="shared" si="70"/>
        <v>0</v>
      </c>
      <c r="AB303" t="str">
        <f t="shared" si="65"/>
        <v>nem</v>
      </c>
    </row>
    <row r="304" spans="1:28" x14ac:dyDescent="0.25">
      <c r="A304" t="s">
        <v>362</v>
      </c>
      <c r="B304" t="s">
        <v>31</v>
      </c>
      <c r="C304">
        <v>48.924076900000003</v>
      </c>
      <c r="D304">
        <f t="shared" si="60"/>
        <v>0.85388622540390058</v>
      </c>
      <c r="E304">
        <v>13.037422599999999</v>
      </c>
      <c r="F304">
        <f t="shared" si="61"/>
        <v>0.22754595034391967</v>
      </c>
      <c r="G304">
        <f t="shared" si="64"/>
        <v>472.06883338448961</v>
      </c>
      <c r="H304" t="s">
        <v>59</v>
      </c>
      <c r="I304">
        <v>1116</v>
      </c>
      <c r="J304">
        <v>835</v>
      </c>
      <c r="K304">
        <v>1</v>
      </c>
      <c r="L304">
        <v>5</v>
      </c>
      <c r="M304">
        <v>0</v>
      </c>
      <c r="N304">
        <f t="shared" si="62"/>
        <v>6</v>
      </c>
      <c r="O304">
        <v>2</v>
      </c>
      <c r="P304" t="str">
        <f t="shared" si="63"/>
        <v>Nem</v>
      </c>
      <c r="W304" t="b">
        <f t="shared" si="66"/>
        <v>0</v>
      </c>
      <c r="X304" t="b">
        <f t="shared" si="67"/>
        <v>0</v>
      </c>
      <c r="Y304" t="b">
        <f t="shared" si="68"/>
        <v>0</v>
      </c>
      <c r="Z304" t="b">
        <f t="shared" si="69"/>
        <v>0</v>
      </c>
      <c r="AA304" t="b">
        <f t="shared" si="70"/>
        <v>0</v>
      </c>
      <c r="AB304" t="str">
        <f t="shared" si="65"/>
        <v>nem</v>
      </c>
    </row>
    <row r="305" spans="1:28" x14ac:dyDescent="0.25">
      <c r="A305" t="s">
        <v>363</v>
      </c>
      <c r="B305" t="s">
        <v>285</v>
      </c>
      <c r="C305">
        <v>48.887895299999997</v>
      </c>
      <c r="D305">
        <f t="shared" si="60"/>
        <v>0.85325473735526092</v>
      </c>
      <c r="E305">
        <v>19.246858700000001</v>
      </c>
      <c r="F305">
        <f t="shared" si="61"/>
        <v>0.33592105498111557</v>
      </c>
      <c r="G305">
        <f t="shared" si="64"/>
        <v>155.31581264282477</v>
      </c>
      <c r="I305">
        <v>1361</v>
      </c>
      <c r="J305">
        <v>914</v>
      </c>
      <c r="K305">
        <v>5</v>
      </c>
      <c r="L305">
        <v>5</v>
      </c>
      <c r="M305">
        <v>0</v>
      </c>
      <c r="N305">
        <f t="shared" si="62"/>
        <v>10</v>
      </c>
      <c r="O305">
        <v>2</v>
      </c>
      <c r="P305" t="str">
        <f t="shared" si="63"/>
        <v>Nem</v>
      </c>
      <c r="W305" t="b">
        <f t="shared" si="66"/>
        <v>0</v>
      </c>
      <c r="X305" t="b">
        <f t="shared" si="67"/>
        <v>0</v>
      </c>
      <c r="Y305" t="b">
        <f t="shared" si="68"/>
        <v>0</v>
      </c>
      <c r="Z305" t="b">
        <f t="shared" si="69"/>
        <v>0</v>
      </c>
      <c r="AA305" t="b">
        <f t="shared" si="70"/>
        <v>0</v>
      </c>
      <c r="AB305" t="str">
        <f t="shared" si="65"/>
        <v>nem</v>
      </c>
    </row>
    <row r="306" spans="1:28" x14ac:dyDescent="0.25">
      <c r="A306" t="s">
        <v>364</v>
      </c>
      <c r="B306" t="s">
        <v>101</v>
      </c>
      <c r="C306">
        <v>46.233861699999999</v>
      </c>
      <c r="D306">
        <f t="shared" si="60"/>
        <v>0.80693311257670275</v>
      </c>
      <c r="E306">
        <v>13.9650643</v>
      </c>
      <c r="F306">
        <f t="shared" si="61"/>
        <v>0.24373635228771715</v>
      </c>
      <c r="G306">
        <f t="shared" si="64"/>
        <v>410.54788155048891</v>
      </c>
      <c r="H306" t="s">
        <v>59</v>
      </c>
      <c r="I306">
        <v>1480</v>
      </c>
      <c r="J306">
        <v>540</v>
      </c>
      <c r="K306">
        <v>12</v>
      </c>
      <c r="L306">
        <v>10</v>
      </c>
      <c r="M306">
        <v>1</v>
      </c>
      <c r="N306">
        <f t="shared" si="62"/>
        <v>23</v>
      </c>
      <c r="O306">
        <v>0</v>
      </c>
      <c r="P306" t="str">
        <f t="shared" si="63"/>
        <v>Nem</v>
      </c>
      <c r="W306" t="b">
        <f t="shared" si="66"/>
        <v>0</v>
      </c>
      <c r="X306" t="b">
        <f t="shared" si="67"/>
        <v>0</v>
      </c>
      <c r="Y306" t="b">
        <f t="shared" si="68"/>
        <v>0</v>
      </c>
      <c r="Z306" t="b">
        <f t="shared" si="69"/>
        <v>0</v>
      </c>
      <c r="AA306" t="b">
        <f t="shared" si="70"/>
        <v>0</v>
      </c>
      <c r="AB306" t="str">
        <f t="shared" si="65"/>
        <v>nem</v>
      </c>
    </row>
    <row r="307" spans="1:28" x14ac:dyDescent="0.25">
      <c r="A307" t="s">
        <v>365</v>
      </c>
      <c r="B307" t="s">
        <v>31</v>
      </c>
      <c r="C307">
        <v>47.671740100000001</v>
      </c>
      <c r="D307">
        <f t="shared" si="60"/>
        <v>0.83202882490001084</v>
      </c>
      <c r="E307">
        <v>12.04163164</v>
      </c>
      <c r="F307">
        <f t="shared" si="61"/>
        <v>0.21016611943032451</v>
      </c>
      <c r="G307">
        <f t="shared" si="64"/>
        <v>525.0775469011752</v>
      </c>
      <c r="I307">
        <v>1563</v>
      </c>
      <c r="J307">
        <v>850</v>
      </c>
      <c r="K307">
        <v>5</v>
      </c>
      <c r="L307">
        <v>24</v>
      </c>
      <c r="M307">
        <v>3</v>
      </c>
      <c r="N307">
        <f t="shared" si="62"/>
        <v>32</v>
      </c>
      <c r="O307">
        <v>4</v>
      </c>
      <c r="P307" t="str">
        <f t="shared" si="63"/>
        <v>Nem</v>
      </c>
      <c r="W307" t="b">
        <f t="shared" si="66"/>
        <v>0</v>
      </c>
      <c r="X307" t="b">
        <f t="shared" si="67"/>
        <v>0</v>
      </c>
      <c r="Y307" t="b">
        <f t="shared" si="68"/>
        <v>0</v>
      </c>
      <c r="Z307" t="b">
        <f t="shared" si="69"/>
        <v>0</v>
      </c>
      <c r="AA307" t="b">
        <f t="shared" si="70"/>
        <v>0</v>
      </c>
      <c r="AB307" t="str">
        <f t="shared" si="65"/>
        <v>nem</v>
      </c>
    </row>
    <row r="308" spans="1:28" x14ac:dyDescent="0.25">
      <c r="A308" t="s">
        <v>366</v>
      </c>
      <c r="B308" t="s">
        <v>31</v>
      </c>
      <c r="C308">
        <v>47.582487299999997</v>
      </c>
      <c r="D308">
        <f t="shared" si="60"/>
        <v>0.8304710696733868</v>
      </c>
      <c r="E308">
        <v>10.3212662</v>
      </c>
      <c r="F308">
        <f t="shared" si="61"/>
        <v>0.18014007816480357</v>
      </c>
      <c r="G308">
        <f t="shared" si="64"/>
        <v>654.20985080467801</v>
      </c>
      <c r="H308" t="s">
        <v>27</v>
      </c>
      <c r="I308">
        <v>1700</v>
      </c>
      <c r="J308">
        <v>900</v>
      </c>
      <c r="K308">
        <v>2</v>
      </c>
      <c r="L308">
        <v>14</v>
      </c>
      <c r="M308">
        <v>0</v>
      </c>
      <c r="N308">
        <f t="shared" si="62"/>
        <v>16</v>
      </c>
      <c r="O308">
        <v>0</v>
      </c>
      <c r="P308" t="str">
        <f t="shared" si="63"/>
        <v>Nem</v>
      </c>
      <c r="W308" t="b">
        <f t="shared" si="66"/>
        <v>0</v>
      </c>
      <c r="X308" t="b">
        <f t="shared" si="67"/>
        <v>0</v>
      </c>
      <c r="Y308" t="b">
        <f t="shared" si="68"/>
        <v>0</v>
      </c>
      <c r="Z308" t="b">
        <f t="shared" si="69"/>
        <v>0</v>
      </c>
      <c r="AA308" t="b">
        <f t="shared" si="70"/>
        <v>0</v>
      </c>
      <c r="AB308" t="str">
        <f t="shared" si="65"/>
        <v>nem</v>
      </c>
    </row>
    <row r="309" spans="1:28" x14ac:dyDescent="0.25">
      <c r="A309" t="s">
        <v>367</v>
      </c>
      <c r="B309" t="s">
        <v>26</v>
      </c>
      <c r="C309">
        <v>47.053695400000002</v>
      </c>
      <c r="D309">
        <f t="shared" si="60"/>
        <v>0.82124190996051027</v>
      </c>
      <c r="E309">
        <v>14.33034179</v>
      </c>
      <c r="F309">
        <f t="shared" si="61"/>
        <v>0.25011164717163781</v>
      </c>
      <c r="G309">
        <f t="shared" si="64"/>
        <v>358.68515045373653</v>
      </c>
      <c r="H309" t="s">
        <v>59</v>
      </c>
      <c r="I309">
        <v>1870</v>
      </c>
      <c r="J309">
        <v>1010</v>
      </c>
      <c r="K309">
        <v>2</v>
      </c>
      <c r="L309">
        <v>9</v>
      </c>
      <c r="M309">
        <v>0</v>
      </c>
      <c r="N309">
        <f t="shared" si="62"/>
        <v>11</v>
      </c>
      <c r="O309">
        <v>6</v>
      </c>
      <c r="P309" t="str">
        <f t="shared" si="63"/>
        <v>Nem</v>
      </c>
      <c r="W309" t="b">
        <f t="shared" si="66"/>
        <v>0</v>
      </c>
      <c r="X309" t="b">
        <f t="shared" si="67"/>
        <v>0</v>
      </c>
      <c r="Y309" t="b">
        <f t="shared" si="68"/>
        <v>0</v>
      </c>
      <c r="Z309" t="b">
        <f t="shared" si="69"/>
        <v>0</v>
      </c>
      <c r="AA309" t="b">
        <f t="shared" si="70"/>
        <v>0</v>
      </c>
      <c r="AB309" t="str">
        <f t="shared" si="65"/>
        <v>nem</v>
      </c>
    </row>
    <row r="310" spans="1:28" x14ac:dyDescent="0.25">
      <c r="A310" t="s">
        <v>368</v>
      </c>
      <c r="B310" t="s">
        <v>26</v>
      </c>
      <c r="C310">
        <v>47.575626049999997</v>
      </c>
      <c r="D310">
        <f t="shared" si="60"/>
        <v>0.83035131827008435</v>
      </c>
      <c r="E310">
        <v>12.387344349999999</v>
      </c>
      <c r="F310">
        <f t="shared" si="61"/>
        <v>0.21619994448581684</v>
      </c>
      <c r="G310">
        <f t="shared" si="64"/>
        <v>499.35158988374252</v>
      </c>
      <c r="H310" t="s">
        <v>59</v>
      </c>
      <c r="I310">
        <v>780</v>
      </c>
      <c r="J310">
        <v>640</v>
      </c>
      <c r="K310">
        <v>3</v>
      </c>
      <c r="L310">
        <v>2</v>
      </c>
      <c r="M310">
        <v>0</v>
      </c>
      <c r="N310">
        <f t="shared" si="62"/>
        <v>5</v>
      </c>
      <c r="O310">
        <v>1</v>
      </c>
      <c r="P310" t="str">
        <f t="shared" si="63"/>
        <v>Nem</v>
      </c>
      <c r="W310" t="b">
        <f t="shared" si="66"/>
        <v>0</v>
      </c>
      <c r="X310" t="b">
        <f t="shared" si="67"/>
        <v>0</v>
      </c>
      <c r="Y310" t="b">
        <f t="shared" si="68"/>
        <v>0</v>
      </c>
      <c r="Z310" t="b">
        <f t="shared" si="69"/>
        <v>0</v>
      </c>
      <c r="AA310" t="b">
        <f t="shared" si="70"/>
        <v>0</v>
      </c>
      <c r="AB310" t="str">
        <f t="shared" si="65"/>
        <v>nem</v>
      </c>
    </row>
    <row r="311" spans="1:28" x14ac:dyDescent="0.25">
      <c r="A311" t="s">
        <v>369</v>
      </c>
      <c r="B311" t="s">
        <v>31</v>
      </c>
      <c r="C311">
        <v>47.421872700000002</v>
      </c>
      <c r="D311">
        <f t="shared" si="60"/>
        <v>0.82766781607661322</v>
      </c>
      <c r="E311">
        <v>10.3423461</v>
      </c>
      <c r="F311">
        <f t="shared" si="61"/>
        <v>0.18050799182579472</v>
      </c>
      <c r="G311">
        <f t="shared" si="64"/>
        <v>653.61694153230974</v>
      </c>
      <c r="H311" t="s">
        <v>94</v>
      </c>
      <c r="I311">
        <v>2224</v>
      </c>
      <c r="J311">
        <v>828</v>
      </c>
      <c r="K311">
        <v>2</v>
      </c>
      <c r="L311">
        <v>5</v>
      </c>
      <c r="M311">
        <v>4</v>
      </c>
      <c r="N311">
        <f t="shared" si="62"/>
        <v>11</v>
      </c>
      <c r="O311">
        <v>7</v>
      </c>
      <c r="P311" t="str">
        <f t="shared" si="63"/>
        <v>Nem</v>
      </c>
      <c r="W311" t="b">
        <f t="shared" si="66"/>
        <v>0</v>
      </c>
      <c r="X311" t="b">
        <f t="shared" si="67"/>
        <v>0</v>
      </c>
      <c r="Y311" t="b">
        <f t="shared" si="68"/>
        <v>0</v>
      </c>
      <c r="Z311" t="b">
        <f t="shared" si="69"/>
        <v>0</v>
      </c>
      <c r="AA311" t="b">
        <f t="shared" si="70"/>
        <v>0</v>
      </c>
      <c r="AB311" t="str">
        <f t="shared" si="65"/>
        <v>nem</v>
      </c>
    </row>
    <row r="312" spans="1:28" x14ac:dyDescent="0.25">
      <c r="A312" t="s">
        <v>370</v>
      </c>
      <c r="B312" t="s">
        <v>26</v>
      </c>
      <c r="C312">
        <v>47.2524874</v>
      </c>
      <c r="D312">
        <f t="shared" si="60"/>
        <v>0.82471148488713486</v>
      </c>
      <c r="E312">
        <v>14.3682392</v>
      </c>
      <c r="F312">
        <f t="shared" si="61"/>
        <v>0.25077308175411606</v>
      </c>
      <c r="G312">
        <f t="shared" si="64"/>
        <v>352.80718024988477</v>
      </c>
      <c r="H312" t="s">
        <v>27</v>
      </c>
      <c r="I312">
        <v>2222</v>
      </c>
      <c r="J312">
        <v>1600</v>
      </c>
      <c r="K312">
        <v>7</v>
      </c>
      <c r="L312">
        <v>16</v>
      </c>
      <c r="M312">
        <v>2</v>
      </c>
      <c r="N312">
        <f t="shared" si="62"/>
        <v>25</v>
      </c>
      <c r="O312">
        <v>3</v>
      </c>
      <c r="P312" t="str">
        <f t="shared" si="63"/>
        <v>Nem</v>
      </c>
      <c r="W312" t="b">
        <f t="shared" si="66"/>
        <v>0</v>
      </c>
      <c r="X312" t="b">
        <f t="shared" si="67"/>
        <v>0</v>
      </c>
      <c r="Y312" t="b">
        <f t="shared" si="68"/>
        <v>0</v>
      </c>
      <c r="Z312" t="b">
        <f t="shared" si="69"/>
        <v>0</v>
      </c>
      <c r="AA312" t="b">
        <f t="shared" si="70"/>
        <v>0</v>
      </c>
      <c r="AB312" t="str">
        <f t="shared" si="65"/>
        <v>nem</v>
      </c>
    </row>
    <row r="313" spans="1:28" x14ac:dyDescent="0.25">
      <c r="A313" t="s">
        <v>371</v>
      </c>
      <c r="B313" t="s">
        <v>26</v>
      </c>
      <c r="C313">
        <v>47.4185564</v>
      </c>
      <c r="D313">
        <f t="shared" si="60"/>
        <v>0.82760993572262931</v>
      </c>
      <c r="E313">
        <v>13.592984700000001</v>
      </c>
      <c r="F313">
        <f t="shared" si="61"/>
        <v>0.23724233818821366</v>
      </c>
      <c r="G313">
        <f t="shared" si="64"/>
        <v>409.54610610539675</v>
      </c>
      <c r="H313" t="s">
        <v>59</v>
      </c>
      <c r="I313">
        <v>1636</v>
      </c>
      <c r="J313">
        <v>1035</v>
      </c>
      <c r="K313">
        <v>14</v>
      </c>
      <c r="L313">
        <v>10</v>
      </c>
      <c r="M313">
        <v>1</v>
      </c>
      <c r="N313">
        <f t="shared" si="62"/>
        <v>25</v>
      </c>
      <c r="O313">
        <v>3</v>
      </c>
      <c r="P313" t="str">
        <f t="shared" si="63"/>
        <v>Nem</v>
      </c>
      <c r="W313" t="b">
        <f t="shared" si="66"/>
        <v>0</v>
      </c>
      <c r="X313" t="b">
        <f t="shared" si="67"/>
        <v>0</v>
      </c>
      <c r="Y313" t="b">
        <f t="shared" si="68"/>
        <v>0</v>
      </c>
      <c r="Z313" t="b">
        <f t="shared" si="69"/>
        <v>0</v>
      </c>
      <c r="AA313" t="b">
        <f t="shared" si="70"/>
        <v>0</v>
      </c>
      <c r="AB313" t="str">
        <f t="shared" si="65"/>
        <v>nem</v>
      </c>
    </row>
    <row r="314" spans="1:28" x14ac:dyDescent="0.25">
      <c r="A314" t="s">
        <v>372</v>
      </c>
      <c r="B314" t="s">
        <v>37</v>
      </c>
      <c r="C314">
        <v>46.251275999999997</v>
      </c>
      <c r="D314">
        <f t="shared" si="60"/>
        <v>0.80723704944863284</v>
      </c>
      <c r="E314">
        <v>7.829707</v>
      </c>
      <c r="F314">
        <f t="shared" si="61"/>
        <v>0.13665416661644766</v>
      </c>
      <c r="G314">
        <f t="shared" si="64"/>
        <v>862.55316573611162</v>
      </c>
      <c r="H314" t="s">
        <v>59</v>
      </c>
      <c r="I314">
        <v>2550</v>
      </c>
      <c r="J314">
        <v>1480</v>
      </c>
      <c r="K314">
        <v>5</v>
      </c>
      <c r="L314">
        <v>15</v>
      </c>
      <c r="M314">
        <v>5</v>
      </c>
      <c r="N314">
        <f t="shared" si="62"/>
        <v>25</v>
      </c>
      <c r="O314">
        <v>8</v>
      </c>
      <c r="P314" t="str">
        <f t="shared" si="63"/>
        <v>Nem</v>
      </c>
      <c r="W314" t="b">
        <f t="shared" si="66"/>
        <v>0</v>
      </c>
      <c r="X314" t="b">
        <f t="shared" si="67"/>
        <v>0</v>
      </c>
      <c r="Y314" t="b">
        <f t="shared" si="68"/>
        <v>0</v>
      </c>
      <c r="Z314" t="b">
        <f t="shared" si="69"/>
        <v>0</v>
      </c>
      <c r="AA314" t="b">
        <f t="shared" si="70"/>
        <v>0</v>
      </c>
      <c r="AB314" t="str">
        <f t="shared" si="65"/>
        <v>nem</v>
      </c>
    </row>
    <row r="315" spans="1:28" x14ac:dyDescent="0.25">
      <c r="A315" t="s">
        <v>373</v>
      </c>
      <c r="B315" t="s">
        <v>43</v>
      </c>
      <c r="C315">
        <v>42.776245500000002</v>
      </c>
      <c r="D315">
        <f t="shared" si="60"/>
        <v>0.74658632561640803</v>
      </c>
      <c r="E315">
        <v>1.3131615000000001</v>
      </c>
      <c r="F315">
        <f t="shared" si="61"/>
        <v>2.2918991785427518E-2</v>
      </c>
      <c r="G315">
        <f t="shared" si="64"/>
        <v>1482.1988944536554</v>
      </c>
      <c r="H315" t="s">
        <v>59</v>
      </c>
      <c r="I315">
        <v>2100</v>
      </c>
      <c r="J315">
        <v>1100</v>
      </c>
      <c r="K315">
        <v>20</v>
      </c>
      <c r="L315">
        <v>14</v>
      </c>
      <c r="M315">
        <v>6</v>
      </c>
      <c r="N315">
        <f t="shared" si="62"/>
        <v>40</v>
      </c>
      <c r="O315">
        <v>0</v>
      </c>
      <c r="P315" t="str">
        <f t="shared" si="63"/>
        <v>Nem</v>
      </c>
      <c r="W315" t="b">
        <f t="shared" si="66"/>
        <v>0</v>
      </c>
      <c r="X315" t="b">
        <f t="shared" si="67"/>
        <v>0</v>
      </c>
      <c r="Y315" t="b">
        <f t="shared" si="68"/>
        <v>0</v>
      </c>
      <c r="Z315" t="b">
        <f t="shared" si="69"/>
        <v>0</v>
      </c>
      <c r="AA315" t="b">
        <f t="shared" si="70"/>
        <v>0</v>
      </c>
      <c r="AB315" t="str">
        <f t="shared" si="65"/>
        <v>nem</v>
      </c>
    </row>
    <row r="316" spans="1:28" x14ac:dyDescent="0.25">
      <c r="A316" t="s">
        <v>374</v>
      </c>
      <c r="B316" t="s">
        <v>26</v>
      </c>
      <c r="C316">
        <v>47.4167682</v>
      </c>
      <c r="D316">
        <f t="shared" si="60"/>
        <v>0.82757872574494507</v>
      </c>
      <c r="E316">
        <v>9.9826654999999995</v>
      </c>
      <c r="F316">
        <f t="shared" si="61"/>
        <v>0.174230381100246</v>
      </c>
      <c r="G316">
        <f t="shared" si="64"/>
        <v>680.65158902446569</v>
      </c>
      <c r="H316" t="s">
        <v>375</v>
      </c>
      <c r="I316">
        <v>1325</v>
      </c>
      <c r="J316">
        <v>1070</v>
      </c>
      <c r="K316">
        <v>3</v>
      </c>
      <c r="L316">
        <v>6</v>
      </c>
      <c r="M316">
        <v>1</v>
      </c>
      <c r="N316">
        <f t="shared" si="62"/>
        <v>10</v>
      </c>
      <c r="O316">
        <v>1</v>
      </c>
      <c r="P316" t="str">
        <f t="shared" si="63"/>
        <v>Nem</v>
      </c>
      <c r="W316" t="b">
        <f t="shared" si="66"/>
        <v>0</v>
      </c>
      <c r="X316" t="b">
        <f t="shared" si="67"/>
        <v>0</v>
      </c>
      <c r="Y316" t="b">
        <f t="shared" si="68"/>
        <v>0</v>
      </c>
      <c r="Z316" t="b">
        <f t="shared" si="69"/>
        <v>0</v>
      </c>
      <c r="AA316" t="b">
        <f t="shared" si="70"/>
        <v>0</v>
      </c>
      <c r="AB316" t="str">
        <f t="shared" si="65"/>
        <v>nem</v>
      </c>
    </row>
    <row r="317" spans="1:28" x14ac:dyDescent="0.25">
      <c r="A317" t="s">
        <v>376</v>
      </c>
      <c r="B317" t="s">
        <v>31</v>
      </c>
      <c r="C317">
        <v>50.429136399999997</v>
      </c>
      <c r="D317">
        <f t="shared" si="60"/>
        <v>0.88015446911732009</v>
      </c>
      <c r="E317">
        <v>12.954728100000001</v>
      </c>
      <c r="F317">
        <f t="shared" si="61"/>
        <v>0.22610265904562923</v>
      </c>
      <c r="G317">
        <f t="shared" si="64"/>
        <v>550.71566847524923</v>
      </c>
      <c r="H317" t="s">
        <v>27</v>
      </c>
      <c r="I317">
        <v>1215</v>
      </c>
      <c r="J317">
        <v>911</v>
      </c>
      <c r="K317">
        <v>6</v>
      </c>
      <c r="L317">
        <v>6</v>
      </c>
      <c r="M317">
        <v>2</v>
      </c>
      <c r="N317">
        <f t="shared" si="62"/>
        <v>14</v>
      </c>
      <c r="O317">
        <v>2</v>
      </c>
      <c r="P317" t="str">
        <f t="shared" si="63"/>
        <v>Nem</v>
      </c>
      <c r="W317" t="b">
        <f t="shared" si="66"/>
        <v>0</v>
      </c>
      <c r="X317" t="b">
        <f t="shared" si="67"/>
        <v>0</v>
      </c>
      <c r="Y317" t="b">
        <f t="shared" si="68"/>
        <v>0</v>
      </c>
      <c r="Z317" t="b">
        <f t="shared" si="69"/>
        <v>0</v>
      </c>
      <c r="AA317" t="b">
        <f t="shared" si="70"/>
        <v>0</v>
      </c>
      <c r="AB317" t="str">
        <f t="shared" si="65"/>
        <v>nem</v>
      </c>
    </row>
    <row r="318" spans="1:28" x14ac:dyDescent="0.25">
      <c r="A318" t="s">
        <v>377</v>
      </c>
      <c r="B318" t="s">
        <v>37</v>
      </c>
      <c r="C318">
        <v>46.423701700000002</v>
      </c>
      <c r="D318">
        <f t="shared" si="60"/>
        <v>0.81024644562868886</v>
      </c>
      <c r="E318">
        <v>8.1599477</v>
      </c>
      <c r="F318">
        <f t="shared" si="61"/>
        <v>0.14241795415553851</v>
      </c>
      <c r="G318">
        <f t="shared" si="64"/>
        <v>833.59389455527673</v>
      </c>
      <c r="H318" t="s">
        <v>27</v>
      </c>
      <c r="I318">
        <v>1600</v>
      </c>
      <c r="J318">
        <v>1204</v>
      </c>
      <c r="K318">
        <v>9</v>
      </c>
      <c r="L318">
        <v>21</v>
      </c>
      <c r="M318">
        <v>6</v>
      </c>
      <c r="N318">
        <f t="shared" si="62"/>
        <v>36</v>
      </c>
      <c r="O318">
        <v>6</v>
      </c>
      <c r="P318" t="str">
        <f t="shared" si="63"/>
        <v>Nem</v>
      </c>
      <c r="W318" t="b">
        <f t="shared" si="66"/>
        <v>0</v>
      </c>
      <c r="X318" t="b">
        <f t="shared" si="67"/>
        <v>0</v>
      </c>
      <c r="Y318" t="b">
        <f t="shared" si="68"/>
        <v>0</v>
      </c>
      <c r="Z318" t="b">
        <f t="shared" si="69"/>
        <v>0</v>
      </c>
      <c r="AA318" t="b">
        <f t="shared" si="70"/>
        <v>0</v>
      </c>
      <c r="AB318" t="str">
        <f t="shared" si="65"/>
        <v>nem</v>
      </c>
    </row>
    <row r="319" spans="1:28" x14ac:dyDescent="0.25">
      <c r="A319" t="s">
        <v>378</v>
      </c>
      <c r="B319" t="s">
        <v>37</v>
      </c>
      <c r="C319">
        <v>46.939113599999999</v>
      </c>
      <c r="D319">
        <f t="shared" si="60"/>
        <v>0.81924208028764856</v>
      </c>
      <c r="E319">
        <v>8.4741613999999998</v>
      </c>
      <c r="F319">
        <f t="shared" si="61"/>
        <v>0.1479020177754122</v>
      </c>
      <c r="G319">
        <f t="shared" si="64"/>
        <v>799.78599385709117</v>
      </c>
      <c r="H319" t="s">
        <v>27</v>
      </c>
      <c r="I319">
        <v>1200</v>
      </c>
      <c r="J319">
        <v>436</v>
      </c>
      <c r="K319">
        <v>15</v>
      </c>
      <c r="L319">
        <v>25</v>
      </c>
      <c r="M319">
        <v>0</v>
      </c>
      <c r="N319">
        <f t="shared" si="62"/>
        <v>40</v>
      </c>
      <c r="O319">
        <v>0</v>
      </c>
      <c r="P319" t="str">
        <f t="shared" si="63"/>
        <v>Nem</v>
      </c>
      <c r="W319" t="b">
        <f t="shared" si="66"/>
        <v>0</v>
      </c>
      <c r="X319" t="b">
        <f t="shared" si="67"/>
        <v>0</v>
      </c>
      <c r="Y319" t="b">
        <f t="shared" si="68"/>
        <v>0</v>
      </c>
      <c r="Z319" t="b">
        <f t="shared" si="69"/>
        <v>0</v>
      </c>
      <c r="AA319" t="b">
        <f t="shared" si="70"/>
        <v>0</v>
      </c>
      <c r="AB319" t="str">
        <f t="shared" si="65"/>
        <v>nem</v>
      </c>
    </row>
    <row r="320" spans="1:28" x14ac:dyDescent="0.25">
      <c r="A320" t="s">
        <v>379</v>
      </c>
      <c r="B320" t="s">
        <v>31</v>
      </c>
      <c r="C320">
        <v>50.205599999999997</v>
      </c>
      <c r="D320">
        <f t="shared" si="60"/>
        <v>0.8762530229392651</v>
      </c>
      <c r="E320">
        <v>8.8333300000000001</v>
      </c>
      <c r="F320">
        <f t="shared" si="61"/>
        <v>0.15417069241519071</v>
      </c>
      <c r="G320">
        <f t="shared" si="64"/>
        <v>804.38144666351991</v>
      </c>
      <c r="H320" t="s">
        <v>59</v>
      </c>
      <c r="I320">
        <v>760</v>
      </c>
      <c r="J320">
        <v>620</v>
      </c>
      <c r="K320">
        <v>1</v>
      </c>
      <c r="L320">
        <v>1</v>
      </c>
      <c r="M320">
        <v>0</v>
      </c>
      <c r="N320">
        <f t="shared" si="62"/>
        <v>2</v>
      </c>
      <c r="O320">
        <v>1</v>
      </c>
      <c r="P320" t="str">
        <f t="shared" si="63"/>
        <v>Nem</v>
      </c>
      <c r="W320" t="b">
        <f t="shared" si="66"/>
        <v>0</v>
      </c>
      <c r="X320" t="b">
        <f t="shared" si="67"/>
        <v>0</v>
      </c>
      <c r="Y320" t="b">
        <f t="shared" si="68"/>
        <v>0</v>
      </c>
      <c r="Z320" t="b">
        <f t="shared" si="69"/>
        <v>0</v>
      </c>
      <c r="AA320" t="b">
        <f t="shared" si="70"/>
        <v>0</v>
      </c>
      <c r="AB320" t="str">
        <f t="shared" si="65"/>
        <v>nem</v>
      </c>
    </row>
    <row r="321" spans="1:28" x14ac:dyDescent="0.25">
      <c r="A321" t="s">
        <v>380</v>
      </c>
      <c r="B321" t="s">
        <v>293</v>
      </c>
      <c r="C321">
        <v>49.394641700000001</v>
      </c>
      <c r="D321">
        <f t="shared" si="60"/>
        <v>0.86209913050788922</v>
      </c>
      <c r="E321">
        <v>20.105052799999999</v>
      </c>
      <c r="F321">
        <f t="shared" si="61"/>
        <v>0.350899367647305</v>
      </c>
      <c r="G321">
        <f t="shared" si="64"/>
        <v>225.0491635550926</v>
      </c>
      <c r="H321" t="s">
        <v>27</v>
      </c>
      <c r="I321">
        <v>910</v>
      </c>
      <c r="J321">
        <v>680</v>
      </c>
      <c r="K321">
        <v>12</v>
      </c>
      <c r="L321">
        <v>3</v>
      </c>
      <c r="M321">
        <v>0</v>
      </c>
      <c r="N321">
        <f t="shared" si="62"/>
        <v>15</v>
      </c>
      <c r="O321">
        <v>1</v>
      </c>
      <c r="P321" t="str">
        <f t="shared" si="63"/>
        <v>Nem</v>
      </c>
      <c r="W321" t="b">
        <f t="shared" si="66"/>
        <v>0</v>
      </c>
      <c r="X321" t="b">
        <f t="shared" si="67"/>
        <v>0</v>
      </c>
      <c r="Y321" t="b">
        <f t="shared" si="68"/>
        <v>0</v>
      </c>
      <c r="Z321" t="b">
        <f t="shared" si="69"/>
        <v>0</v>
      </c>
      <c r="AA321" t="b">
        <f t="shared" si="70"/>
        <v>0</v>
      </c>
      <c r="AB321" t="str">
        <f t="shared" si="65"/>
        <v>nem</v>
      </c>
    </row>
    <row r="322" spans="1:28" x14ac:dyDescent="0.25">
      <c r="A322" t="s">
        <v>381</v>
      </c>
      <c r="B322" t="s">
        <v>285</v>
      </c>
      <c r="C322">
        <v>49.1191897</v>
      </c>
      <c r="D322">
        <f t="shared" si="60"/>
        <v>0.85729158617668577</v>
      </c>
      <c r="E322">
        <v>20.063955</v>
      </c>
      <c r="F322">
        <f t="shared" si="61"/>
        <v>0.3501820757219789</v>
      </c>
      <c r="G322">
        <f t="shared" si="64"/>
        <v>195.52612389490196</v>
      </c>
      <c r="H322" t="s">
        <v>27</v>
      </c>
      <c r="I322">
        <v>1840</v>
      </c>
      <c r="J322">
        <v>1376</v>
      </c>
      <c r="K322">
        <v>2</v>
      </c>
      <c r="L322">
        <v>5</v>
      </c>
      <c r="M322">
        <v>0</v>
      </c>
      <c r="N322">
        <f t="shared" si="62"/>
        <v>7</v>
      </c>
      <c r="O322">
        <v>3</v>
      </c>
      <c r="P322" t="str">
        <f t="shared" si="63"/>
        <v>Nem</v>
      </c>
      <c r="W322" t="b">
        <f t="shared" si="66"/>
        <v>0</v>
      </c>
      <c r="X322" t="b">
        <f t="shared" si="67"/>
        <v>0</v>
      </c>
      <c r="Y322" t="b">
        <f t="shared" si="68"/>
        <v>0</v>
      </c>
      <c r="Z322" t="b">
        <f t="shared" si="69"/>
        <v>0</v>
      </c>
      <c r="AA322" t="b">
        <f t="shared" si="70"/>
        <v>0</v>
      </c>
      <c r="AB322" t="str">
        <f t="shared" si="65"/>
        <v>nem</v>
      </c>
    </row>
    <row r="323" spans="1:28" x14ac:dyDescent="0.25">
      <c r="A323" t="s">
        <v>382</v>
      </c>
      <c r="B323" t="s">
        <v>26</v>
      </c>
      <c r="C323">
        <v>47.714789099999997</v>
      </c>
      <c r="D323">
        <f t="shared" si="60"/>
        <v>0.83278017168970186</v>
      </c>
      <c r="E323">
        <v>13.238008750000001</v>
      </c>
      <c r="F323">
        <f t="shared" si="61"/>
        <v>0.2310468390953189</v>
      </c>
      <c r="G323">
        <f t="shared" si="64"/>
        <v>435.557910644456</v>
      </c>
      <c r="H323" t="s">
        <v>383</v>
      </c>
      <c r="I323">
        <v>1567</v>
      </c>
      <c r="J323">
        <v>750</v>
      </c>
      <c r="K323">
        <v>23</v>
      </c>
      <c r="L323">
        <v>10</v>
      </c>
      <c r="M323">
        <v>0</v>
      </c>
      <c r="N323">
        <f t="shared" si="62"/>
        <v>33</v>
      </c>
      <c r="O323">
        <v>0</v>
      </c>
      <c r="P323" t="str">
        <f t="shared" si="63"/>
        <v>Nem</v>
      </c>
      <c r="W323" t="b">
        <f t="shared" si="66"/>
        <v>0</v>
      </c>
      <c r="X323" t="b">
        <f t="shared" si="67"/>
        <v>0</v>
      </c>
      <c r="Y323" t="b">
        <f t="shared" si="68"/>
        <v>0</v>
      </c>
      <c r="Z323" t="b">
        <f t="shared" si="69"/>
        <v>0</v>
      </c>
      <c r="AA323" t="b">
        <f t="shared" si="70"/>
        <v>0</v>
      </c>
      <c r="AB323" t="str">
        <f t="shared" si="65"/>
        <v>nem</v>
      </c>
    </row>
    <row r="324" spans="1:28" x14ac:dyDescent="0.25">
      <c r="A324" t="s">
        <v>384</v>
      </c>
      <c r="B324" t="s">
        <v>26</v>
      </c>
      <c r="C324">
        <v>47.330213700000002</v>
      </c>
      <c r="D324">
        <f t="shared" ref="D324:D357" si="71">RADIANS(C324)</f>
        <v>0.8260680647375277</v>
      </c>
      <c r="E324">
        <v>11.71804485</v>
      </c>
      <c r="F324">
        <f t="shared" ref="F324:F357" si="72">RADIANS(E324)</f>
        <v>0.20451846452886505</v>
      </c>
      <c r="G324">
        <f t="shared" si="64"/>
        <v>551.07019177920415</v>
      </c>
      <c r="H324" t="s">
        <v>129</v>
      </c>
      <c r="I324">
        <v>857</v>
      </c>
      <c r="J324">
        <v>545</v>
      </c>
      <c r="K324">
        <v>5</v>
      </c>
      <c r="L324">
        <v>2</v>
      </c>
      <c r="M324">
        <v>2</v>
      </c>
      <c r="N324">
        <f t="shared" ref="N324:N357" si="73">SUM(K324,L324,M324)</f>
        <v>9</v>
      </c>
      <c r="O324">
        <v>4</v>
      </c>
      <c r="P324" t="str">
        <f t="shared" ref="P324:P357" si="74">IF(AA324, "Igen", "Nem")</f>
        <v>Nem</v>
      </c>
      <c r="W324" t="b">
        <f t="shared" si="66"/>
        <v>0</v>
      </c>
      <c r="X324" t="b">
        <f t="shared" si="67"/>
        <v>0</v>
      </c>
      <c r="Y324" t="b">
        <f t="shared" si="68"/>
        <v>0</v>
      </c>
      <c r="Z324" t="b">
        <f t="shared" si="69"/>
        <v>0</v>
      </c>
      <c r="AA324" t="b">
        <f t="shared" si="70"/>
        <v>0</v>
      </c>
      <c r="AB324" t="str">
        <f t="shared" si="65"/>
        <v>nem</v>
      </c>
    </row>
    <row r="325" spans="1:28" x14ac:dyDescent="0.25">
      <c r="A325" t="s">
        <v>385</v>
      </c>
      <c r="B325" t="s">
        <v>43</v>
      </c>
      <c r="C325">
        <v>45.60283055</v>
      </c>
      <c r="D325">
        <f t="shared" si="71"/>
        <v>0.79591954132655662</v>
      </c>
      <c r="E325">
        <v>6.0982686959999999</v>
      </c>
      <c r="F325">
        <f t="shared" si="72"/>
        <v>0.10643486741650116</v>
      </c>
      <c r="G325">
        <f t="shared" ref="G325:G357" si="75">ACOS(SIN(D325)*SIN($U$2)+COS(D325) * COS($U$2) * COS($V$2 - F325)) * 6371</f>
        <v>1010.5864728331862</v>
      </c>
      <c r="I325">
        <v>1785</v>
      </c>
      <c r="J325">
        <v>1370</v>
      </c>
      <c r="K325">
        <v>18</v>
      </c>
      <c r="L325">
        <v>4</v>
      </c>
      <c r="M325">
        <v>1</v>
      </c>
      <c r="N325">
        <f t="shared" si="73"/>
        <v>23</v>
      </c>
      <c r="O325">
        <v>0</v>
      </c>
      <c r="P325" t="str">
        <f t="shared" si="74"/>
        <v>Nem</v>
      </c>
      <c r="W325" t="b">
        <f t="shared" si="66"/>
        <v>0</v>
      </c>
      <c r="X325" t="b">
        <f t="shared" si="67"/>
        <v>0</v>
      </c>
      <c r="Y325" t="b">
        <f t="shared" si="68"/>
        <v>0</v>
      </c>
      <c r="Z325" t="b">
        <f t="shared" si="69"/>
        <v>0</v>
      </c>
      <c r="AA325" t="b">
        <f t="shared" si="70"/>
        <v>0</v>
      </c>
      <c r="AB325" t="str">
        <f t="shared" si="65"/>
        <v>nem</v>
      </c>
    </row>
    <row r="326" spans="1:28" x14ac:dyDescent="0.25">
      <c r="A326" t="s">
        <v>386</v>
      </c>
      <c r="B326" t="s">
        <v>26</v>
      </c>
      <c r="C326">
        <v>46.822677599999999</v>
      </c>
      <c r="D326">
        <f t="shared" si="71"/>
        <v>0.8172098887197965</v>
      </c>
      <c r="E326">
        <v>14.052473300000001</v>
      </c>
      <c r="F326">
        <f t="shared" si="72"/>
        <v>0.24526192713359291</v>
      </c>
      <c r="G326">
        <f t="shared" si="75"/>
        <v>384.43895976949392</v>
      </c>
      <c r="H326" t="s">
        <v>59</v>
      </c>
      <c r="I326">
        <v>1886</v>
      </c>
      <c r="J326">
        <v>1540</v>
      </c>
      <c r="K326">
        <v>5</v>
      </c>
      <c r="L326">
        <v>11</v>
      </c>
      <c r="M326">
        <v>3</v>
      </c>
      <c r="N326">
        <f t="shared" si="73"/>
        <v>19</v>
      </c>
      <c r="O326">
        <v>2</v>
      </c>
      <c r="P326" t="str">
        <f t="shared" si="74"/>
        <v>Nem</v>
      </c>
      <c r="W326" t="b">
        <f t="shared" si="66"/>
        <v>0</v>
      </c>
      <c r="X326" t="b">
        <f t="shared" si="67"/>
        <v>0</v>
      </c>
      <c r="Y326" t="b">
        <f t="shared" si="68"/>
        <v>0</v>
      </c>
      <c r="Z326" t="b">
        <f t="shared" si="69"/>
        <v>0</v>
      </c>
      <c r="AA326" t="b">
        <f t="shared" si="70"/>
        <v>0</v>
      </c>
      <c r="AB326" t="str">
        <f t="shared" si="65"/>
        <v>nem</v>
      </c>
    </row>
    <row r="327" spans="1:28" x14ac:dyDescent="0.25">
      <c r="A327" t="s">
        <v>387</v>
      </c>
      <c r="B327" t="s">
        <v>43</v>
      </c>
      <c r="C327">
        <v>48.03400165</v>
      </c>
      <c r="D327">
        <f t="shared" si="71"/>
        <v>0.83835148170088891</v>
      </c>
      <c r="E327">
        <v>6.9833397430000002</v>
      </c>
      <c r="F327">
        <f t="shared" si="72"/>
        <v>0.12188227130072464</v>
      </c>
      <c r="G327">
        <f t="shared" si="75"/>
        <v>902.18588448704259</v>
      </c>
      <c r="H327" t="s">
        <v>388</v>
      </c>
      <c r="I327">
        <v>1350</v>
      </c>
      <c r="J327">
        <v>872</v>
      </c>
      <c r="K327">
        <v>13</v>
      </c>
      <c r="L327">
        <v>7</v>
      </c>
      <c r="M327">
        <v>1</v>
      </c>
      <c r="N327">
        <f t="shared" si="73"/>
        <v>21</v>
      </c>
      <c r="O327">
        <v>0</v>
      </c>
      <c r="P327" t="str">
        <f t="shared" si="74"/>
        <v>Nem</v>
      </c>
      <c r="W327" t="b">
        <f t="shared" si="66"/>
        <v>0</v>
      </c>
      <c r="X327" t="b">
        <f t="shared" si="67"/>
        <v>0</v>
      </c>
      <c r="Y327" t="b">
        <f t="shared" si="68"/>
        <v>0</v>
      </c>
      <c r="Z327" t="b">
        <f t="shared" si="69"/>
        <v>0</v>
      </c>
      <c r="AA327" t="b">
        <f t="shared" si="70"/>
        <v>0</v>
      </c>
      <c r="AB327" t="str">
        <f t="shared" si="65"/>
        <v>nem</v>
      </c>
    </row>
    <row r="328" spans="1:28" x14ac:dyDescent="0.25">
      <c r="A328" t="s">
        <v>389</v>
      </c>
      <c r="B328" t="s">
        <v>31</v>
      </c>
      <c r="C328">
        <v>50.439927500000003</v>
      </c>
      <c r="D328">
        <f t="shared" si="71"/>
        <v>0.88034280934223219</v>
      </c>
      <c r="E328">
        <v>11.151178099999999</v>
      </c>
      <c r="F328">
        <f t="shared" si="72"/>
        <v>0.19462477332128547</v>
      </c>
      <c r="G328">
        <f t="shared" si="75"/>
        <v>661.80385319626544</v>
      </c>
      <c r="H328" t="s">
        <v>27</v>
      </c>
      <c r="I328">
        <v>842</v>
      </c>
      <c r="J328">
        <v>590</v>
      </c>
      <c r="K328">
        <v>2</v>
      </c>
      <c r="L328">
        <v>1</v>
      </c>
      <c r="M328">
        <v>0</v>
      </c>
      <c r="N328">
        <f t="shared" si="73"/>
        <v>3</v>
      </c>
      <c r="O328">
        <v>0</v>
      </c>
      <c r="P328" t="str">
        <f t="shared" si="74"/>
        <v>Nem</v>
      </c>
      <c r="W328" t="b">
        <f t="shared" si="66"/>
        <v>0</v>
      </c>
      <c r="X328" t="b">
        <f t="shared" si="67"/>
        <v>0</v>
      </c>
      <c r="Y328" t="b">
        <f t="shared" si="68"/>
        <v>0</v>
      </c>
      <c r="Z328" t="b">
        <f t="shared" si="69"/>
        <v>0</v>
      </c>
      <c r="AA328" t="b">
        <f t="shared" si="70"/>
        <v>0</v>
      </c>
      <c r="AB328" t="str">
        <f t="shared" si="65"/>
        <v>nem</v>
      </c>
    </row>
    <row r="329" spans="1:28" x14ac:dyDescent="0.25">
      <c r="A329" t="s">
        <v>390</v>
      </c>
      <c r="B329" t="s">
        <v>26</v>
      </c>
      <c r="C329">
        <v>47.605204550000003</v>
      </c>
      <c r="D329">
        <f t="shared" si="71"/>
        <v>0.83086756048288557</v>
      </c>
      <c r="E329">
        <v>15.58475687</v>
      </c>
      <c r="F329">
        <f t="shared" si="72"/>
        <v>0.27200532050430587</v>
      </c>
      <c r="G329">
        <f t="shared" si="75"/>
        <v>259.58090902604653</v>
      </c>
      <c r="H329" t="s">
        <v>59</v>
      </c>
      <c r="I329">
        <v>1230</v>
      </c>
      <c r="J329">
        <v>980</v>
      </c>
      <c r="K329">
        <v>2</v>
      </c>
      <c r="L329">
        <v>3</v>
      </c>
      <c r="M329">
        <v>2</v>
      </c>
      <c r="N329">
        <f t="shared" si="73"/>
        <v>7</v>
      </c>
      <c r="O329">
        <v>0</v>
      </c>
      <c r="P329" t="str">
        <f t="shared" si="74"/>
        <v>Nem</v>
      </c>
      <c r="W329" t="b">
        <f t="shared" si="66"/>
        <v>0</v>
      </c>
      <c r="X329" t="b">
        <f t="shared" si="67"/>
        <v>0</v>
      </c>
      <c r="Y329" t="b">
        <f t="shared" si="68"/>
        <v>0</v>
      </c>
      <c r="Z329" t="b">
        <f t="shared" si="69"/>
        <v>0</v>
      </c>
      <c r="AA329" t="b">
        <f t="shared" si="70"/>
        <v>0</v>
      </c>
      <c r="AB329" t="str">
        <f t="shared" si="65"/>
        <v>nem</v>
      </c>
    </row>
    <row r="330" spans="1:28" x14ac:dyDescent="0.25">
      <c r="A330" t="s">
        <v>391</v>
      </c>
      <c r="B330" t="s">
        <v>26</v>
      </c>
      <c r="C330">
        <v>47.476123000000001</v>
      </c>
      <c r="D330">
        <f t="shared" si="71"/>
        <v>0.82861466243180792</v>
      </c>
      <c r="E330">
        <v>12.4297939</v>
      </c>
      <c r="F330">
        <f t="shared" si="72"/>
        <v>0.2169408288993068</v>
      </c>
      <c r="G330">
        <f t="shared" si="75"/>
        <v>496.56988722235371</v>
      </c>
      <c r="H330" t="s">
        <v>27</v>
      </c>
      <c r="I330">
        <v>2000</v>
      </c>
      <c r="J330">
        <v>800</v>
      </c>
      <c r="K330">
        <v>6</v>
      </c>
      <c r="L330">
        <v>9</v>
      </c>
      <c r="M330">
        <v>2</v>
      </c>
      <c r="N330">
        <f t="shared" si="73"/>
        <v>17</v>
      </c>
      <c r="O330">
        <v>7</v>
      </c>
      <c r="P330" t="str">
        <f t="shared" si="74"/>
        <v>Nem</v>
      </c>
      <c r="W330" t="b">
        <f t="shared" si="66"/>
        <v>0</v>
      </c>
      <c r="X330" t="b">
        <f t="shared" si="67"/>
        <v>0</v>
      </c>
      <c r="Y330" t="b">
        <f t="shared" si="68"/>
        <v>0</v>
      </c>
      <c r="Z330" t="b">
        <f t="shared" si="69"/>
        <v>0</v>
      </c>
      <c r="AA330" t="b">
        <f t="shared" si="70"/>
        <v>0</v>
      </c>
      <c r="AB330" t="str">
        <f t="shared" ref="AB330:AB357" si="76">IF(AA330, "igen", "nem")</f>
        <v>nem</v>
      </c>
    </row>
    <row r="331" spans="1:28" x14ac:dyDescent="0.25">
      <c r="A331" t="s">
        <v>392</v>
      </c>
      <c r="B331" t="s">
        <v>20</v>
      </c>
      <c r="C331">
        <v>60.8420056</v>
      </c>
      <c r="D331">
        <f t="shared" si="71"/>
        <v>1.061893321236828</v>
      </c>
      <c r="E331">
        <v>6.4666278000000004</v>
      </c>
      <c r="F331">
        <f t="shared" si="72"/>
        <v>0.11286394661099737</v>
      </c>
      <c r="G331">
        <f t="shared" si="75"/>
        <v>1687.9618511387462</v>
      </c>
      <c r="H331" t="s">
        <v>21</v>
      </c>
      <c r="I331">
        <v>1060</v>
      </c>
      <c r="J331">
        <v>450</v>
      </c>
      <c r="K331">
        <v>13</v>
      </c>
      <c r="L331">
        <v>12</v>
      </c>
      <c r="M331">
        <v>4</v>
      </c>
      <c r="N331">
        <f t="shared" si="73"/>
        <v>29</v>
      </c>
      <c r="O331">
        <v>3</v>
      </c>
      <c r="P331" t="str">
        <f t="shared" si="74"/>
        <v>Nem</v>
      </c>
      <c r="W331" t="b">
        <f t="shared" si="66"/>
        <v>0</v>
      </c>
      <c r="X331" t="b">
        <f t="shared" si="67"/>
        <v>0</v>
      </c>
      <c r="Y331" t="b">
        <f t="shared" si="68"/>
        <v>0</v>
      </c>
      <c r="Z331" t="b">
        <f t="shared" si="69"/>
        <v>0</v>
      </c>
      <c r="AA331" t="b">
        <f t="shared" si="70"/>
        <v>0</v>
      </c>
      <c r="AB331" t="str">
        <f t="shared" si="76"/>
        <v>nem</v>
      </c>
    </row>
    <row r="332" spans="1:28" x14ac:dyDescent="0.25">
      <c r="A332" t="s">
        <v>393</v>
      </c>
      <c r="B332" t="s">
        <v>26</v>
      </c>
      <c r="C332">
        <v>47.660739100000001</v>
      </c>
      <c r="D332">
        <f t="shared" si="71"/>
        <v>0.83183682122899893</v>
      </c>
      <c r="E332">
        <v>13.7710285</v>
      </c>
      <c r="F332">
        <f t="shared" si="72"/>
        <v>0.24034978871097593</v>
      </c>
      <c r="G332">
        <f t="shared" si="75"/>
        <v>395.57405060575559</v>
      </c>
      <c r="H332" t="s">
        <v>27</v>
      </c>
      <c r="I332">
        <v>1770</v>
      </c>
      <c r="J332">
        <v>850</v>
      </c>
      <c r="K332">
        <v>18</v>
      </c>
      <c r="L332">
        <v>12</v>
      </c>
      <c r="M332">
        <v>3</v>
      </c>
      <c r="N332">
        <f t="shared" si="73"/>
        <v>33</v>
      </c>
      <c r="O332">
        <v>9</v>
      </c>
      <c r="P332" t="str">
        <f t="shared" si="74"/>
        <v>Nem</v>
      </c>
      <c r="W332" t="b">
        <f t="shared" si="66"/>
        <v>0</v>
      </c>
      <c r="X332" t="b">
        <f t="shared" si="67"/>
        <v>0</v>
      </c>
      <c r="Y332" t="b">
        <f t="shared" si="68"/>
        <v>0</v>
      </c>
      <c r="Z332" t="b">
        <f t="shared" si="69"/>
        <v>0</v>
      </c>
      <c r="AA332" t="b">
        <f t="shared" si="70"/>
        <v>0</v>
      </c>
      <c r="AB332" t="str">
        <f t="shared" si="76"/>
        <v>nem</v>
      </c>
    </row>
    <row r="333" spans="1:28" x14ac:dyDescent="0.25">
      <c r="A333" t="s">
        <v>394</v>
      </c>
      <c r="B333" t="s">
        <v>26</v>
      </c>
      <c r="C333">
        <v>47.507475450000001</v>
      </c>
      <c r="D333">
        <f t="shared" si="71"/>
        <v>0.82916186591287477</v>
      </c>
      <c r="E333">
        <v>11.67908871</v>
      </c>
      <c r="F333">
        <f t="shared" si="72"/>
        <v>0.20383855162199721</v>
      </c>
      <c r="G333">
        <f t="shared" si="75"/>
        <v>552.7513759190125</v>
      </c>
      <c r="H333" t="s">
        <v>27</v>
      </c>
      <c r="I333">
        <v>1800</v>
      </c>
      <c r="J333">
        <v>950</v>
      </c>
      <c r="K333">
        <v>6</v>
      </c>
      <c r="L333">
        <v>16</v>
      </c>
      <c r="M333">
        <v>5</v>
      </c>
      <c r="N333">
        <f t="shared" si="73"/>
        <v>27</v>
      </c>
      <c r="O333">
        <v>4</v>
      </c>
      <c r="P333" t="str">
        <f t="shared" si="74"/>
        <v>Nem</v>
      </c>
      <c r="W333" t="b">
        <f t="shared" si="66"/>
        <v>0</v>
      </c>
      <c r="X333" t="b">
        <f t="shared" si="67"/>
        <v>0</v>
      </c>
      <c r="Y333" t="b">
        <f t="shared" si="68"/>
        <v>0</v>
      </c>
      <c r="Z333" t="b">
        <f t="shared" si="69"/>
        <v>0</v>
      </c>
      <c r="AA333" t="b">
        <f t="shared" si="70"/>
        <v>0</v>
      </c>
      <c r="AB333" t="str">
        <f t="shared" si="76"/>
        <v>nem</v>
      </c>
    </row>
    <row r="334" spans="1:28" x14ac:dyDescent="0.25">
      <c r="A334" t="s">
        <v>395</v>
      </c>
      <c r="B334" t="s">
        <v>31</v>
      </c>
      <c r="C334">
        <v>47.442574200000003</v>
      </c>
      <c r="D334">
        <f t="shared" si="71"/>
        <v>0.82802912541171481</v>
      </c>
      <c r="E334">
        <v>10.1761213</v>
      </c>
      <c r="F334">
        <f t="shared" si="72"/>
        <v>0.17760682176732565</v>
      </c>
      <c r="G334">
        <f t="shared" si="75"/>
        <v>665.93628486337207</v>
      </c>
      <c r="H334" t="s">
        <v>23</v>
      </c>
      <c r="I334">
        <v>1700</v>
      </c>
      <c r="J334">
        <v>1400</v>
      </c>
      <c r="K334">
        <v>3</v>
      </c>
      <c r="L334">
        <v>8</v>
      </c>
      <c r="M334">
        <v>0</v>
      </c>
      <c r="N334">
        <f t="shared" si="73"/>
        <v>11</v>
      </c>
      <c r="O334">
        <v>2</v>
      </c>
      <c r="P334" t="str">
        <f t="shared" si="74"/>
        <v>Nem</v>
      </c>
      <c r="W334" t="b">
        <f t="shared" si="66"/>
        <v>0</v>
      </c>
      <c r="X334" t="b">
        <f t="shared" si="67"/>
        <v>0</v>
      </c>
      <c r="Y334" t="b">
        <f t="shared" si="68"/>
        <v>0</v>
      </c>
      <c r="Z334" t="b">
        <f t="shared" si="69"/>
        <v>0</v>
      </c>
      <c r="AA334" t="b">
        <f t="shared" si="70"/>
        <v>0</v>
      </c>
      <c r="AB334" t="str">
        <f t="shared" si="76"/>
        <v>nem</v>
      </c>
    </row>
    <row r="335" spans="1:28" x14ac:dyDescent="0.25">
      <c r="A335" t="s">
        <v>396</v>
      </c>
      <c r="B335" t="s">
        <v>31</v>
      </c>
      <c r="C335">
        <v>47.649571600000002</v>
      </c>
      <c r="D335">
        <f t="shared" si="71"/>
        <v>0.83164191158478251</v>
      </c>
      <c r="E335">
        <v>12.938090300000001</v>
      </c>
      <c r="F335">
        <f t="shared" si="72"/>
        <v>0.22581227465534093</v>
      </c>
      <c r="G335">
        <f t="shared" si="75"/>
        <v>457.95444694153809</v>
      </c>
      <c r="H335" t="s">
        <v>27</v>
      </c>
      <c r="I335">
        <v>1307</v>
      </c>
      <c r="J335">
        <v>880</v>
      </c>
      <c r="K335">
        <v>2</v>
      </c>
      <c r="L335">
        <v>1</v>
      </c>
      <c r="M335">
        <v>4</v>
      </c>
      <c r="N335">
        <f t="shared" si="73"/>
        <v>7</v>
      </c>
      <c r="O335">
        <v>2</v>
      </c>
      <c r="P335" t="str">
        <f t="shared" si="74"/>
        <v>Nem</v>
      </c>
      <c r="W335" t="b">
        <f t="shared" si="66"/>
        <v>0</v>
      </c>
      <c r="X335" t="b">
        <f t="shared" si="67"/>
        <v>0</v>
      </c>
      <c r="Y335" t="b">
        <f t="shared" si="68"/>
        <v>0</v>
      </c>
      <c r="Z335" t="b">
        <f t="shared" si="69"/>
        <v>0</v>
      </c>
      <c r="AA335" t="b">
        <f t="shared" si="70"/>
        <v>0</v>
      </c>
      <c r="AB335" t="str">
        <f t="shared" si="76"/>
        <v>nem</v>
      </c>
    </row>
    <row r="336" spans="1:28" x14ac:dyDescent="0.25">
      <c r="A336" t="s">
        <v>397</v>
      </c>
      <c r="B336" t="s">
        <v>37</v>
      </c>
      <c r="C336">
        <v>46.372856599999999</v>
      </c>
      <c r="D336">
        <f t="shared" si="71"/>
        <v>0.80935903122518305</v>
      </c>
      <c r="E336">
        <v>7.6541765000000002</v>
      </c>
      <c r="F336">
        <f t="shared" si="72"/>
        <v>0.13359058145377575</v>
      </c>
      <c r="G336">
        <f t="shared" si="75"/>
        <v>872.69378490480142</v>
      </c>
      <c r="H336" t="s">
        <v>27</v>
      </c>
      <c r="I336">
        <v>2610</v>
      </c>
      <c r="J336">
        <v>1411</v>
      </c>
      <c r="K336">
        <v>3</v>
      </c>
      <c r="L336">
        <v>26</v>
      </c>
      <c r="M336">
        <v>16</v>
      </c>
      <c r="N336">
        <f t="shared" si="73"/>
        <v>45</v>
      </c>
      <c r="O336">
        <v>11</v>
      </c>
      <c r="P336" t="str">
        <f t="shared" si="74"/>
        <v>Nem</v>
      </c>
      <c r="W336" t="b">
        <f t="shared" si="66"/>
        <v>0</v>
      </c>
      <c r="X336" t="b">
        <f t="shared" si="67"/>
        <v>0</v>
      </c>
      <c r="Y336" t="b">
        <f t="shared" si="68"/>
        <v>0</v>
      </c>
      <c r="Z336" t="b">
        <f t="shared" si="69"/>
        <v>0</v>
      </c>
      <c r="AA336" t="b">
        <f t="shared" si="70"/>
        <v>0</v>
      </c>
      <c r="AB336" t="str">
        <f t="shared" si="76"/>
        <v>nem</v>
      </c>
    </row>
    <row r="337" spans="1:28" x14ac:dyDescent="0.25">
      <c r="A337" t="s">
        <v>398</v>
      </c>
      <c r="B337" t="s">
        <v>26</v>
      </c>
      <c r="C337">
        <v>47.404144199999998</v>
      </c>
      <c r="D337">
        <f t="shared" si="71"/>
        <v>0.82735839538017331</v>
      </c>
      <c r="E337">
        <v>13.418751650000001</v>
      </c>
      <c r="F337">
        <f t="shared" si="72"/>
        <v>0.23420139779992177</v>
      </c>
      <c r="G337">
        <f t="shared" si="75"/>
        <v>422.7283831370716</v>
      </c>
      <c r="H337" t="s">
        <v>27</v>
      </c>
      <c r="I337">
        <v>1612</v>
      </c>
      <c r="J337">
        <v>862</v>
      </c>
      <c r="K337">
        <v>4</v>
      </c>
      <c r="L337">
        <v>2</v>
      </c>
      <c r="M337">
        <v>0</v>
      </c>
      <c r="N337">
        <f t="shared" si="73"/>
        <v>6</v>
      </c>
      <c r="O337">
        <v>3</v>
      </c>
      <c r="P337" t="str">
        <f t="shared" si="74"/>
        <v>Nem</v>
      </c>
      <c r="W337" t="b">
        <f t="shared" si="66"/>
        <v>0</v>
      </c>
      <c r="X337" t="b">
        <f t="shared" si="67"/>
        <v>0</v>
      </c>
      <c r="Y337" t="b">
        <f t="shared" si="68"/>
        <v>0</v>
      </c>
      <c r="Z337" t="b">
        <f t="shared" si="69"/>
        <v>0</v>
      </c>
      <c r="AA337" t="b">
        <f t="shared" si="70"/>
        <v>0</v>
      </c>
      <c r="AB337" t="str">
        <f t="shared" si="76"/>
        <v>nem</v>
      </c>
    </row>
    <row r="338" spans="1:28" x14ac:dyDescent="0.25">
      <c r="A338" t="s">
        <v>399</v>
      </c>
      <c r="B338" t="s">
        <v>40</v>
      </c>
      <c r="C338">
        <v>46.347316399999997</v>
      </c>
      <c r="D338">
        <f t="shared" si="71"/>
        <v>0.80891327064356522</v>
      </c>
      <c r="E338">
        <v>11.4515353</v>
      </c>
      <c r="F338">
        <f t="shared" si="72"/>
        <v>0.19986699539335659</v>
      </c>
      <c r="G338">
        <f t="shared" si="75"/>
        <v>590.08913765265527</v>
      </c>
      <c r="H338" t="s">
        <v>27</v>
      </c>
      <c r="I338">
        <v>2250</v>
      </c>
      <c r="J338">
        <v>1850</v>
      </c>
      <c r="K338">
        <v>4</v>
      </c>
      <c r="L338">
        <v>2</v>
      </c>
      <c r="M338">
        <v>1</v>
      </c>
      <c r="N338">
        <f t="shared" si="73"/>
        <v>7</v>
      </c>
      <c r="O338">
        <v>0</v>
      </c>
      <c r="P338" t="str">
        <f t="shared" si="74"/>
        <v>Nem</v>
      </c>
      <c r="W338" t="b">
        <f t="shared" si="66"/>
        <v>0</v>
      </c>
      <c r="X338" t="b">
        <f t="shared" si="67"/>
        <v>0</v>
      </c>
      <c r="Y338" t="b">
        <f t="shared" si="68"/>
        <v>0</v>
      </c>
      <c r="Z338" t="b">
        <f t="shared" si="69"/>
        <v>0</v>
      </c>
      <c r="AA338" t="b">
        <f t="shared" si="70"/>
        <v>0</v>
      </c>
      <c r="AB338" t="str">
        <f t="shared" si="76"/>
        <v>nem</v>
      </c>
    </row>
    <row r="339" spans="1:28" x14ac:dyDescent="0.25">
      <c r="A339" t="s">
        <v>400</v>
      </c>
      <c r="B339" t="s">
        <v>40</v>
      </c>
      <c r="C339">
        <v>46.339027299999998</v>
      </c>
      <c r="D339">
        <f t="shared" si="71"/>
        <v>0.80876859855653815</v>
      </c>
      <c r="E339">
        <v>11.70654171</v>
      </c>
      <c r="F339">
        <f t="shared" si="72"/>
        <v>0.20431769686154719</v>
      </c>
      <c r="G339">
        <f t="shared" si="75"/>
        <v>571.47023914495674</v>
      </c>
      <c r="H339" t="s">
        <v>27</v>
      </c>
      <c r="I339">
        <v>2340</v>
      </c>
      <c r="J339">
        <v>1370</v>
      </c>
      <c r="K339">
        <v>12</v>
      </c>
      <c r="L339">
        <v>10</v>
      </c>
      <c r="M339">
        <v>4</v>
      </c>
      <c r="N339">
        <f t="shared" si="73"/>
        <v>26</v>
      </c>
      <c r="O339">
        <v>0</v>
      </c>
      <c r="P339" t="str">
        <f t="shared" si="74"/>
        <v>Nem</v>
      </c>
      <c r="W339" t="b">
        <f t="shared" si="66"/>
        <v>0</v>
      </c>
      <c r="X339" t="b">
        <f t="shared" si="67"/>
        <v>0</v>
      </c>
      <c r="Y339" t="b">
        <f t="shared" si="68"/>
        <v>0</v>
      </c>
      <c r="Z339" t="b">
        <f t="shared" si="69"/>
        <v>0</v>
      </c>
      <c r="AA339" t="b">
        <f t="shared" si="70"/>
        <v>0</v>
      </c>
      <c r="AB339" t="str">
        <f t="shared" si="76"/>
        <v>nem</v>
      </c>
    </row>
    <row r="340" spans="1:28" x14ac:dyDescent="0.25">
      <c r="A340" t="s">
        <v>401</v>
      </c>
      <c r="B340" t="s">
        <v>31</v>
      </c>
      <c r="C340">
        <v>47.7293144</v>
      </c>
      <c r="D340">
        <f t="shared" si="71"/>
        <v>0.83303368599954186</v>
      </c>
      <c r="E340">
        <v>12.6401193</v>
      </c>
      <c r="F340">
        <f t="shared" si="72"/>
        <v>0.22061169962988089</v>
      </c>
      <c r="G340">
        <f t="shared" si="75"/>
        <v>480.30157590483265</v>
      </c>
      <c r="H340" t="s">
        <v>59</v>
      </c>
      <c r="I340">
        <v>1417</v>
      </c>
      <c r="J340">
        <v>710</v>
      </c>
      <c r="K340">
        <v>1</v>
      </c>
      <c r="L340">
        <v>1</v>
      </c>
      <c r="M340">
        <v>0</v>
      </c>
      <c r="N340">
        <f t="shared" si="73"/>
        <v>2</v>
      </c>
      <c r="O340">
        <v>1</v>
      </c>
      <c r="P340" t="str">
        <f t="shared" si="74"/>
        <v>Nem</v>
      </c>
      <c r="W340" t="b">
        <f t="shared" si="66"/>
        <v>0</v>
      </c>
      <c r="X340" t="b">
        <f t="shared" si="67"/>
        <v>0</v>
      </c>
      <c r="Y340" t="b">
        <f t="shared" si="68"/>
        <v>0</v>
      </c>
      <c r="Z340" t="b">
        <f t="shared" si="69"/>
        <v>0</v>
      </c>
      <c r="AA340" t="b">
        <f t="shared" si="70"/>
        <v>0</v>
      </c>
      <c r="AB340" t="str">
        <f t="shared" si="76"/>
        <v>nem</v>
      </c>
    </row>
    <row r="341" spans="1:28" x14ac:dyDescent="0.25">
      <c r="A341" t="s">
        <v>402</v>
      </c>
      <c r="B341" t="s">
        <v>37</v>
      </c>
      <c r="C341">
        <v>46.429214000000002</v>
      </c>
      <c r="D341">
        <f t="shared" si="71"/>
        <v>0.81034265341304657</v>
      </c>
      <c r="E341">
        <v>9.9773451439999992</v>
      </c>
      <c r="F341">
        <f t="shared" si="72"/>
        <v>0.17413752337066774</v>
      </c>
      <c r="G341">
        <f t="shared" si="75"/>
        <v>697.5201589260015</v>
      </c>
      <c r="H341" t="s">
        <v>38</v>
      </c>
      <c r="I341">
        <v>3006</v>
      </c>
      <c r="J341">
        <v>2091</v>
      </c>
      <c r="K341">
        <v>0</v>
      </c>
      <c r="L341">
        <v>21</v>
      </c>
      <c r="M341">
        <v>10</v>
      </c>
      <c r="N341">
        <f t="shared" si="73"/>
        <v>31</v>
      </c>
      <c r="O341">
        <v>10</v>
      </c>
      <c r="P341" t="str">
        <f t="shared" si="74"/>
        <v>Igen</v>
      </c>
      <c r="W341" t="b">
        <f t="shared" si="66"/>
        <v>0</v>
      </c>
      <c r="X341" t="b">
        <f t="shared" si="67"/>
        <v>0</v>
      </c>
      <c r="Y341" t="b">
        <f t="shared" si="68"/>
        <v>0</v>
      </c>
      <c r="Z341">
        <f t="shared" si="69"/>
        <v>1</v>
      </c>
      <c r="AA341" t="b">
        <f t="shared" si="70"/>
        <v>1</v>
      </c>
      <c r="AB341" t="str">
        <f t="shared" si="76"/>
        <v>igen</v>
      </c>
    </row>
    <row r="342" spans="1:28" x14ac:dyDescent="0.25">
      <c r="A342" t="s">
        <v>403</v>
      </c>
      <c r="B342" t="s">
        <v>285</v>
      </c>
      <c r="C342">
        <v>49.285262500000002</v>
      </c>
      <c r="D342">
        <f t="shared" si="71"/>
        <v>0.86019010333469181</v>
      </c>
      <c r="E342">
        <v>19.267420950000002</v>
      </c>
      <c r="F342">
        <f t="shared" si="72"/>
        <v>0.33627993394523376</v>
      </c>
      <c r="G342">
        <f t="shared" si="75"/>
        <v>199.45058864383631</v>
      </c>
      <c r="H342" t="s">
        <v>27</v>
      </c>
      <c r="I342">
        <v>1396</v>
      </c>
      <c r="J342">
        <v>720</v>
      </c>
      <c r="K342">
        <v>2</v>
      </c>
      <c r="L342">
        <v>10</v>
      </c>
      <c r="M342">
        <v>2</v>
      </c>
      <c r="N342">
        <f t="shared" si="73"/>
        <v>14</v>
      </c>
      <c r="O342">
        <v>0</v>
      </c>
      <c r="P342" t="str">
        <f t="shared" si="74"/>
        <v>Nem</v>
      </c>
      <c r="W342" t="b">
        <f t="shared" si="66"/>
        <v>0</v>
      </c>
      <c r="X342" t="b">
        <f t="shared" si="67"/>
        <v>0</v>
      </c>
      <c r="Y342" t="b">
        <f t="shared" si="68"/>
        <v>0</v>
      </c>
      <c r="Z342" t="b">
        <f t="shared" si="69"/>
        <v>0</v>
      </c>
      <c r="AA342" t="b">
        <f t="shared" si="70"/>
        <v>0</v>
      </c>
      <c r="AB342" t="str">
        <f t="shared" si="76"/>
        <v>nem</v>
      </c>
    </row>
    <row r="343" spans="1:28" x14ac:dyDescent="0.25">
      <c r="A343" t="s">
        <v>404</v>
      </c>
      <c r="B343" t="s">
        <v>20</v>
      </c>
      <c r="C343">
        <v>61.505814600000001</v>
      </c>
      <c r="D343">
        <f t="shared" si="71"/>
        <v>1.0734789738911992</v>
      </c>
      <c r="E343">
        <v>9.7847118000000002</v>
      </c>
      <c r="F343">
        <f t="shared" si="72"/>
        <v>0.17077543726874089</v>
      </c>
      <c r="G343">
        <f t="shared" si="75"/>
        <v>1664.468122882156</v>
      </c>
      <c r="H343" t="s">
        <v>23</v>
      </c>
      <c r="I343">
        <v>1148</v>
      </c>
      <c r="J343">
        <v>800</v>
      </c>
      <c r="K343">
        <v>13</v>
      </c>
      <c r="L343">
        <v>5</v>
      </c>
      <c r="M343">
        <v>1</v>
      </c>
      <c r="N343">
        <f t="shared" si="73"/>
        <v>19</v>
      </c>
      <c r="O343">
        <v>3</v>
      </c>
      <c r="P343" t="str">
        <f t="shared" si="74"/>
        <v>Nem</v>
      </c>
      <c r="W343" t="b">
        <f t="shared" si="66"/>
        <v>0</v>
      </c>
      <c r="X343" t="b">
        <f t="shared" si="67"/>
        <v>0</v>
      </c>
      <c r="Y343" t="b">
        <f t="shared" si="68"/>
        <v>0</v>
      </c>
      <c r="Z343" t="b">
        <f t="shared" si="69"/>
        <v>0</v>
      </c>
      <c r="AA343" t="b">
        <f t="shared" si="70"/>
        <v>0</v>
      </c>
      <c r="AB343" t="str">
        <f t="shared" si="76"/>
        <v>nem</v>
      </c>
    </row>
    <row r="344" spans="1:28" x14ac:dyDescent="0.25">
      <c r="A344" t="s">
        <v>405</v>
      </c>
      <c r="B344" t="s">
        <v>20</v>
      </c>
      <c r="C344">
        <v>58.683404299999999</v>
      </c>
      <c r="D344">
        <f t="shared" si="71"/>
        <v>1.0242186213139981</v>
      </c>
      <c r="E344">
        <v>9.0280158000000004</v>
      </c>
      <c r="F344">
        <f t="shared" si="72"/>
        <v>0.1575686006320699</v>
      </c>
      <c r="G344">
        <f t="shared" si="75"/>
        <v>1408.6417184284242</v>
      </c>
      <c r="H344" t="s">
        <v>66</v>
      </c>
      <c r="I344">
        <v>1039</v>
      </c>
      <c r="J344">
        <v>185</v>
      </c>
      <c r="K344">
        <v>19</v>
      </c>
      <c r="L344">
        <v>10</v>
      </c>
      <c r="M344">
        <v>5</v>
      </c>
      <c r="N344">
        <f t="shared" si="73"/>
        <v>34</v>
      </c>
      <c r="O344">
        <v>4</v>
      </c>
      <c r="P344" t="str">
        <f t="shared" si="74"/>
        <v>Nem</v>
      </c>
      <c r="W344" t="b">
        <f t="shared" si="66"/>
        <v>0</v>
      </c>
      <c r="X344" t="b">
        <f t="shared" si="67"/>
        <v>0</v>
      </c>
      <c r="Y344" t="b">
        <f t="shared" si="68"/>
        <v>0</v>
      </c>
      <c r="Z344" t="b">
        <f t="shared" si="69"/>
        <v>0</v>
      </c>
      <c r="AA344" t="b">
        <f t="shared" si="70"/>
        <v>0</v>
      </c>
      <c r="AB344" t="str">
        <f t="shared" si="76"/>
        <v>nem</v>
      </c>
    </row>
    <row r="345" spans="1:28" x14ac:dyDescent="0.25">
      <c r="A345" t="s">
        <v>406</v>
      </c>
      <c r="B345" t="s">
        <v>43</v>
      </c>
      <c r="C345">
        <v>44.712216599999998</v>
      </c>
      <c r="D345">
        <f t="shared" si="71"/>
        <v>0.78037539553486446</v>
      </c>
      <c r="E345">
        <v>6.8702565560000002</v>
      </c>
      <c r="F345">
        <f t="shared" si="72"/>
        <v>0.11990859735892619</v>
      </c>
      <c r="G345">
        <f t="shared" si="75"/>
        <v>986.81842077891736</v>
      </c>
      <c r="H345" t="s">
        <v>27</v>
      </c>
      <c r="I345">
        <v>2800</v>
      </c>
      <c r="J345">
        <v>1750</v>
      </c>
      <c r="K345">
        <v>20</v>
      </c>
      <c r="L345">
        <v>12</v>
      </c>
      <c r="M345">
        <v>1</v>
      </c>
      <c r="N345">
        <f t="shared" si="73"/>
        <v>33</v>
      </c>
      <c r="O345">
        <v>0</v>
      </c>
      <c r="P345" t="str">
        <f t="shared" si="74"/>
        <v>Nem</v>
      </c>
      <c r="W345" t="b">
        <f t="shared" si="66"/>
        <v>0</v>
      </c>
      <c r="X345" t="b">
        <f t="shared" si="67"/>
        <v>0</v>
      </c>
      <c r="Y345" t="b">
        <f t="shared" si="68"/>
        <v>0</v>
      </c>
      <c r="Z345" t="b">
        <f t="shared" si="69"/>
        <v>0</v>
      </c>
      <c r="AA345" t="b">
        <f t="shared" si="70"/>
        <v>0</v>
      </c>
      <c r="AB345" t="str">
        <f t="shared" si="76"/>
        <v>nem</v>
      </c>
    </row>
    <row r="346" spans="1:28" x14ac:dyDescent="0.25">
      <c r="A346" t="s">
        <v>407</v>
      </c>
      <c r="B346" t="s">
        <v>285</v>
      </c>
      <c r="C346">
        <v>49.165526700000001</v>
      </c>
      <c r="D346">
        <f t="shared" si="71"/>
        <v>0.85810031939218234</v>
      </c>
      <c r="E346">
        <v>20.279193299999999</v>
      </c>
      <c r="F346">
        <f t="shared" si="72"/>
        <v>0.35393869273337419</v>
      </c>
      <c r="G346">
        <f t="shared" si="75"/>
        <v>206.80880235352132</v>
      </c>
      <c r="H346" t="s">
        <v>27</v>
      </c>
      <c r="I346">
        <v>2190</v>
      </c>
      <c r="J346">
        <v>888</v>
      </c>
      <c r="K346">
        <v>5</v>
      </c>
      <c r="L346">
        <v>5</v>
      </c>
      <c r="M346">
        <v>1</v>
      </c>
      <c r="N346">
        <f t="shared" si="73"/>
        <v>11</v>
      </c>
      <c r="O346">
        <v>6</v>
      </c>
      <c r="P346" t="str">
        <f t="shared" si="74"/>
        <v>Nem</v>
      </c>
      <c r="W346" t="b">
        <f t="shared" si="66"/>
        <v>0</v>
      </c>
      <c r="X346" t="b">
        <f t="shared" si="67"/>
        <v>0</v>
      </c>
      <c r="Y346" t="b">
        <f t="shared" si="68"/>
        <v>0</v>
      </c>
      <c r="Z346" t="b">
        <f t="shared" si="69"/>
        <v>0</v>
      </c>
      <c r="AA346" t="b">
        <f t="shared" si="70"/>
        <v>0</v>
      </c>
      <c r="AB346" t="str">
        <f t="shared" si="76"/>
        <v>nem</v>
      </c>
    </row>
    <row r="347" spans="1:28" x14ac:dyDescent="0.25">
      <c r="A347" t="s">
        <v>408</v>
      </c>
      <c r="B347" t="s">
        <v>101</v>
      </c>
      <c r="C347">
        <v>46.364970800000002</v>
      </c>
      <c r="D347">
        <f t="shared" si="71"/>
        <v>0.80922139805102933</v>
      </c>
      <c r="E347">
        <v>13.481817120000001</v>
      </c>
      <c r="F347">
        <f t="shared" si="72"/>
        <v>0.23530209789573947</v>
      </c>
      <c r="G347">
        <f t="shared" si="75"/>
        <v>440.34789768695282</v>
      </c>
      <c r="H347" t="s">
        <v>27</v>
      </c>
      <c r="I347">
        <v>1103</v>
      </c>
      <c r="J347">
        <v>460</v>
      </c>
      <c r="K347">
        <v>4</v>
      </c>
      <c r="L347">
        <v>6</v>
      </c>
      <c r="M347">
        <v>0</v>
      </c>
      <c r="N347">
        <f t="shared" si="73"/>
        <v>10</v>
      </c>
      <c r="O347">
        <v>0</v>
      </c>
      <c r="P347" t="str">
        <f t="shared" si="74"/>
        <v>Nem</v>
      </c>
      <c r="W347" t="b">
        <f t="shared" si="66"/>
        <v>0</v>
      </c>
      <c r="X347" t="b">
        <f t="shared" si="67"/>
        <v>0</v>
      </c>
      <c r="Y347" t="b">
        <f t="shared" si="68"/>
        <v>0</v>
      </c>
      <c r="Z347" t="b">
        <f t="shared" si="69"/>
        <v>0</v>
      </c>
      <c r="AA347" t="b">
        <f t="shared" si="70"/>
        <v>0</v>
      </c>
      <c r="AB347" t="str">
        <f t="shared" si="76"/>
        <v>nem</v>
      </c>
    </row>
    <row r="348" spans="1:28" x14ac:dyDescent="0.25">
      <c r="A348" t="s">
        <v>409</v>
      </c>
      <c r="B348" t="s">
        <v>31</v>
      </c>
      <c r="C348">
        <v>51.188476000000001</v>
      </c>
      <c r="D348">
        <f t="shared" si="71"/>
        <v>0.8934074452780969</v>
      </c>
      <c r="E348">
        <v>8.5182009999999995</v>
      </c>
      <c r="F348">
        <f t="shared" si="72"/>
        <v>0.14867065379667349</v>
      </c>
      <c r="G348">
        <f t="shared" si="75"/>
        <v>864.59467355322079</v>
      </c>
      <c r="H348" t="s">
        <v>59</v>
      </c>
      <c r="I348">
        <v>730</v>
      </c>
      <c r="J348">
        <v>605</v>
      </c>
      <c r="K348">
        <v>3</v>
      </c>
      <c r="L348">
        <v>3</v>
      </c>
      <c r="M348">
        <v>1</v>
      </c>
      <c r="N348">
        <f t="shared" si="73"/>
        <v>7</v>
      </c>
      <c r="O348">
        <v>1</v>
      </c>
      <c r="P348" t="str">
        <f t="shared" si="74"/>
        <v>Nem</v>
      </c>
      <c r="W348" t="b">
        <f t="shared" si="66"/>
        <v>0</v>
      </c>
      <c r="X348" t="b">
        <f t="shared" si="67"/>
        <v>0</v>
      </c>
      <c r="Y348" t="b">
        <f t="shared" si="68"/>
        <v>0</v>
      </c>
      <c r="Z348" t="b">
        <f t="shared" si="69"/>
        <v>0</v>
      </c>
      <c r="AA348" t="b">
        <f t="shared" si="70"/>
        <v>0</v>
      </c>
      <c r="AB348" t="str">
        <f t="shared" si="76"/>
        <v>nem</v>
      </c>
    </row>
    <row r="349" spans="1:28" x14ac:dyDescent="0.25">
      <c r="A349" t="s">
        <v>410</v>
      </c>
      <c r="B349" t="s">
        <v>37</v>
      </c>
      <c r="C349">
        <v>46.652497199999999</v>
      </c>
      <c r="D349">
        <f t="shared" si="71"/>
        <v>0.81423968041743555</v>
      </c>
      <c r="E349">
        <v>7.3190559000000004</v>
      </c>
      <c r="F349">
        <f t="shared" si="72"/>
        <v>0.12774162359251684</v>
      </c>
      <c r="G349">
        <f t="shared" si="75"/>
        <v>891.72258688045986</v>
      </c>
      <c r="H349" t="s">
        <v>59</v>
      </c>
      <c r="I349">
        <v>1750</v>
      </c>
      <c r="J349">
        <v>1050</v>
      </c>
      <c r="K349">
        <v>14</v>
      </c>
      <c r="L349">
        <v>5</v>
      </c>
      <c r="M349">
        <v>1</v>
      </c>
      <c r="N349">
        <f t="shared" si="73"/>
        <v>20</v>
      </c>
      <c r="O349">
        <v>0</v>
      </c>
      <c r="P349" t="str">
        <f t="shared" si="74"/>
        <v>Nem</v>
      </c>
      <c r="W349" t="b">
        <f t="shared" si="66"/>
        <v>0</v>
      </c>
      <c r="X349" t="b">
        <f t="shared" si="67"/>
        <v>0</v>
      </c>
      <c r="Y349" t="b">
        <f t="shared" si="68"/>
        <v>0</v>
      </c>
      <c r="Z349" t="b">
        <f t="shared" si="69"/>
        <v>0</v>
      </c>
      <c r="AA349" t="b">
        <f t="shared" si="70"/>
        <v>0</v>
      </c>
      <c r="AB349" t="str">
        <f t="shared" si="76"/>
        <v>nem</v>
      </c>
    </row>
    <row r="350" spans="1:28" x14ac:dyDescent="0.25">
      <c r="A350" t="s">
        <v>411</v>
      </c>
      <c r="B350" t="s">
        <v>43</v>
      </c>
      <c r="C350">
        <v>45.342268900000001</v>
      </c>
      <c r="D350">
        <f t="shared" si="71"/>
        <v>0.79137188262962754</v>
      </c>
      <c r="E350">
        <v>5.8146864000000003</v>
      </c>
      <c r="F350">
        <f t="shared" si="72"/>
        <v>0.10148542265093602</v>
      </c>
      <c r="G350">
        <f t="shared" si="75"/>
        <v>1040.3387919619829</v>
      </c>
      <c r="H350" t="s">
        <v>27</v>
      </c>
      <c r="I350">
        <v>1800</v>
      </c>
      <c r="J350">
        <v>900</v>
      </c>
      <c r="K350">
        <v>18</v>
      </c>
      <c r="L350">
        <v>12</v>
      </c>
      <c r="M350">
        <v>5</v>
      </c>
      <c r="N350">
        <f t="shared" si="73"/>
        <v>35</v>
      </c>
      <c r="O350">
        <v>0</v>
      </c>
      <c r="P350" t="str">
        <f t="shared" si="74"/>
        <v>Nem</v>
      </c>
      <c r="W350" t="b">
        <f t="shared" si="66"/>
        <v>0</v>
      </c>
      <c r="X350" t="b">
        <f t="shared" si="67"/>
        <v>0</v>
      </c>
      <c r="Y350" t="b">
        <f t="shared" si="68"/>
        <v>0</v>
      </c>
      <c r="Z350" t="b">
        <f t="shared" si="69"/>
        <v>0</v>
      </c>
      <c r="AA350" t="b">
        <f t="shared" si="70"/>
        <v>0</v>
      </c>
      <c r="AB350" t="str">
        <f t="shared" si="76"/>
        <v>nem</v>
      </c>
    </row>
    <row r="351" spans="1:28" x14ac:dyDescent="0.25">
      <c r="A351" t="s">
        <v>412</v>
      </c>
      <c r="B351" t="s">
        <v>31</v>
      </c>
      <c r="C351">
        <v>47.508711400000003</v>
      </c>
      <c r="D351">
        <f t="shared" si="71"/>
        <v>0.82918343730976485</v>
      </c>
      <c r="E351">
        <v>10.4087222</v>
      </c>
      <c r="F351">
        <f t="shared" si="72"/>
        <v>0.18166647331542771</v>
      </c>
      <c r="G351">
        <f t="shared" si="75"/>
        <v>648.04493109671523</v>
      </c>
      <c r="H351" t="s">
        <v>27</v>
      </c>
      <c r="I351">
        <v>1559</v>
      </c>
      <c r="J351">
        <v>1130</v>
      </c>
      <c r="K351">
        <v>6</v>
      </c>
      <c r="L351">
        <v>24</v>
      </c>
      <c r="M351">
        <v>2</v>
      </c>
      <c r="N351">
        <f t="shared" si="73"/>
        <v>32</v>
      </c>
      <c r="O351">
        <v>2</v>
      </c>
      <c r="P351" t="str">
        <f t="shared" si="74"/>
        <v>Nem</v>
      </c>
      <c r="W351" t="b">
        <f t="shared" si="66"/>
        <v>0</v>
      </c>
      <c r="X351" t="b">
        <f t="shared" si="67"/>
        <v>0</v>
      </c>
      <c r="Y351" t="b">
        <f t="shared" si="68"/>
        <v>0</v>
      </c>
      <c r="Z351" t="b">
        <f t="shared" si="69"/>
        <v>0</v>
      </c>
      <c r="AA351" t="b">
        <f t="shared" si="70"/>
        <v>0</v>
      </c>
      <c r="AB351" t="str">
        <f t="shared" si="76"/>
        <v>nem</v>
      </c>
    </row>
    <row r="352" spans="1:28" x14ac:dyDescent="0.25">
      <c r="A352" t="s">
        <v>413</v>
      </c>
      <c r="B352" t="s">
        <v>26</v>
      </c>
      <c r="C352">
        <v>47.523530600000001</v>
      </c>
      <c r="D352">
        <f t="shared" si="71"/>
        <v>0.82944208114227636</v>
      </c>
      <c r="E352">
        <v>15.998682280000001</v>
      </c>
      <c r="F352">
        <f t="shared" si="72"/>
        <v>0.27922968176647334</v>
      </c>
      <c r="G352">
        <f t="shared" si="75"/>
        <v>228.44471895821721</v>
      </c>
      <c r="H352" t="s">
        <v>383</v>
      </c>
      <c r="I352">
        <v>1450</v>
      </c>
      <c r="J352">
        <v>870</v>
      </c>
      <c r="K352">
        <v>5</v>
      </c>
      <c r="L352">
        <v>6</v>
      </c>
      <c r="M352">
        <v>2</v>
      </c>
      <c r="N352">
        <f t="shared" si="73"/>
        <v>13</v>
      </c>
      <c r="O352">
        <v>0</v>
      </c>
      <c r="P352" t="str">
        <f t="shared" si="74"/>
        <v>Nem</v>
      </c>
      <c r="W352" t="b">
        <f t="shared" si="66"/>
        <v>0</v>
      </c>
      <c r="X352" t="b">
        <f t="shared" si="67"/>
        <v>0</v>
      </c>
      <c r="Y352" t="b">
        <f t="shared" si="68"/>
        <v>0</v>
      </c>
      <c r="Z352" t="b">
        <f t="shared" si="69"/>
        <v>0</v>
      </c>
      <c r="AA352" t="b">
        <f t="shared" si="70"/>
        <v>0</v>
      </c>
      <c r="AB352" t="str">
        <f t="shared" si="76"/>
        <v>nem</v>
      </c>
    </row>
    <row r="353" spans="1:28" x14ac:dyDescent="0.25">
      <c r="A353" t="s">
        <v>414</v>
      </c>
      <c r="B353" t="s">
        <v>37</v>
      </c>
      <c r="C353">
        <v>46.1960178</v>
      </c>
      <c r="D353">
        <f t="shared" si="71"/>
        <v>0.80627261191990729</v>
      </c>
      <c r="E353">
        <v>7.8421611999999996</v>
      </c>
      <c r="F353">
        <f t="shared" si="72"/>
        <v>0.13687153341214953</v>
      </c>
      <c r="G353">
        <f t="shared" si="75"/>
        <v>863.05677427607986</v>
      </c>
      <c r="H353" t="s">
        <v>27</v>
      </c>
      <c r="I353">
        <v>2864</v>
      </c>
      <c r="J353">
        <v>1619</v>
      </c>
      <c r="K353">
        <v>9</v>
      </c>
      <c r="L353">
        <v>31</v>
      </c>
      <c r="M353">
        <v>2</v>
      </c>
      <c r="N353">
        <f t="shared" si="73"/>
        <v>42</v>
      </c>
      <c r="O353">
        <v>7</v>
      </c>
      <c r="P353" t="str">
        <f t="shared" si="74"/>
        <v>Nem</v>
      </c>
      <c r="W353" t="b">
        <f t="shared" ref="W353:W357" si="77">IFERROR(SEARCH("Jún",H353), FALSE)</f>
        <v>0</v>
      </c>
      <c r="X353" t="b">
        <f t="shared" ref="X353:X357" si="78">IFERROR(SEARCH("Júl",H353), FALSE)</f>
        <v>0</v>
      </c>
      <c r="Y353" t="b">
        <f t="shared" ref="Y353:Y357" si="79">IFERROR(SEARCH("Aug",H353), FALSE)</f>
        <v>0</v>
      </c>
      <c r="Z353" t="b">
        <f t="shared" ref="Z353:Z357" si="80">IFERROR(SEARCH("Egész évben",H353), FALSE)</f>
        <v>0</v>
      </c>
      <c r="AA353" t="b">
        <f t="shared" ref="AA353:AA357" si="81">OR(W353,X353,Y353,Z353)</f>
        <v>0</v>
      </c>
      <c r="AB353" t="str">
        <f t="shared" si="76"/>
        <v>nem</v>
      </c>
    </row>
    <row r="354" spans="1:28" x14ac:dyDescent="0.25">
      <c r="A354" t="s">
        <v>415</v>
      </c>
      <c r="B354" t="s">
        <v>43</v>
      </c>
      <c r="C354">
        <v>42.395006600000002</v>
      </c>
      <c r="D354">
        <f t="shared" si="71"/>
        <v>0.73993245157472665</v>
      </c>
      <c r="E354">
        <v>2.1088833</v>
      </c>
      <c r="F354">
        <f t="shared" si="72"/>
        <v>3.6806957125323336E-2</v>
      </c>
      <c r="G354">
        <f t="shared" si="75"/>
        <v>1444.4271647931209</v>
      </c>
      <c r="I354">
        <v>2700</v>
      </c>
      <c r="J354">
        <v>1830</v>
      </c>
      <c r="K354">
        <v>9</v>
      </c>
      <c r="L354">
        <v>15</v>
      </c>
      <c r="M354">
        <v>7</v>
      </c>
      <c r="N354">
        <f t="shared" si="73"/>
        <v>31</v>
      </c>
      <c r="O354">
        <v>0</v>
      </c>
      <c r="P354" t="str">
        <f t="shared" si="74"/>
        <v>Nem</v>
      </c>
      <c r="W354" t="b">
        <f t="shared" si="77"/>
        <v>0</v>
      </c>
      <c r="X354" t="b">
        <f t="shared" si="78"/>
        <v>0</v>
      </c>
      <c r="Y354" t="b">
        <f t="shared" si="79"/>
        <v>0</v>
      </c>
      <c r="Z354" t="b">
        <f t="shared" si="80"/>
        <v>0</v>
      </c>
      <c r="AA354" t="b">
        <f t="shared" si="81"/>
        <v>0</v>
      </c>
      <c r="AB354" t="str">
        <f t="shared" si="76"/>
        <v>nem</v>
      </c>
    </row>
    <row r="355" spans="1:28" x14ac:dyDescent="0.25">
      <c r="A355" t="s">
        <v>416</v>
      </c>
      <c r="B355" t="s">
        <v>31</v>
      </c>
      <c r="C355">
        <v>47.451358800000001</v>
      </c>
      <c r="D355">
        <f t="shared" si="71"/>
        <v>0.8281824456051855</v>
      </c>
      <c r="E355">
        <v>11.228630300000001</v>
      </c>
      <c r="F355">
        <f t="shared" si="72"/>
        <v>0.19597656922419865</v>
      </c>
      <c r="G355">
        <f t="shared" si="75"/>
        <v>586.88408168254864</v>
      </c>
      <c r="H355" t="s">
        <v>388</v>
      </c>
      <c r="I355">
        <v>1350</v>
      </c>
      <c r="J355">
        <v>980</v>
      </c>
      <c r="K355">
        <v>6</v>
      </c>
      <c r="L355">
        <v>7</v>
      </c>
      <c r="M355">
        <v>2</v>
      </c>
      <c r="N355">
        <f t="shared" si="73"/>
        <v>15</v>
      </c>
      <c r="O355">
        <v>2</v>
      </c>
      <c r="P355" t="str">
        <f t="shared" si="74"/>
        <v>Nem</v>
      </c>
      <c r="W355" t="b">
        <f t="shared" si="77"/>
        <v>0</v>
      </c>
      <c r="X355" t="b">
        <f t="shared" si="78"/>
        <v>0</v>
      </c>
      <c r="Y355" t="b">
        <f t="shared" si="79"/>
        <v>0</v>
      </c>
      <c r="Z355" t="b">
        <f t="shared" si="80"/>
        <v>0</v>
      </c>
      <c r="AA355" t="b">
        <f t="shared" si="81"/>
        <v>0</v>
      </c>
      <c r="AB355" t="str">
        <f t="shared" si="76"/>
        <v>nem</v>
      </c>
    </row>
    <row r="356" spans="1:28" x14ac:dyDescent="0.25">
      <c r="A356" t="s">
        <v>417</v>
      </c>
      <c r="B356" t="s">
        <v>26</v>
      </c>
      <c r="C356">
        <v>47.406897000000001</v>
      </c>
      <c r="D356">
        <f t="shared" si="71"/>
        <v>0.82740644080382231</v>
      </c>
      <c r="E356">
        <v>10.927998000000001</v>
      </c>
      <c r="F356">
        <f t="shared" si="72"/>
        <v>0.19072954575135531</v>
      </c>
      <c r="G356">
        <f t="shared" si="75"/>
        <v>609.76840242741434</v>
      </c>
      <c r="H356" t="s">
        <v>59</v>
      </c>
      <c r="I356">
        <v>1530</v>
      </c>
      <c r="J356">
        <v>1000</v>
      </c>
      <c r="K356">
        <v>15</v>
      </c>
      <c r="L356">
        <v>5</v>
      </c>
      <c r="M356">
        <v>3</v>
      </c>
      <c r="N356">
        <f t="shared" si="73"/>
        <v>23</v>
      </c>
      <c r="O356">
        <v>3</v>
      </c>
      <c r="P356" t="str">
        <f t="shared" si="74"/>
        <v>Nem</v>
      </c>
      <c r="W356" t="b">
        <f t="shared" si="77"/>
        <v>0</v>
      </c>
      <c r="X356" t="b">
        <f t="shared" si="78"/>
        <v>0</v>
      </c>
      <c r="Y356" t="b">
        <f t="shared" si="79"/>
        <v>0</v>
      </c>
      <c r="Z356" t="b">
        <f t="shared" si="80"/>
        <v>0</v>
      </c>
      <c r="AA356" t="b">
        <f t="shared" si="81"/>
        <v>0</v>
      </c>
      <c r="AB356" t="str">
        <f t="shared" si="76"/>
        <v>nem</v>
      </c>
    </row>
    <row r="357" spans="1:28" x14ac:dyDescent="0.25">
      <c r="A357" t="s">
        <v>418</v>
      </c>
      <c r="B357" t="s">
        <v>26</v>
      </c>
      <c r="C357">
        <v>47.574194800000001</v>
      </c>
      <c r="D357">
        <f t="shared" si="71"/>
        <v>0.83032633824516522</v>
      </c>
      <c r="E357">
        <v>15.7899645</v>
      </c>
      <c r="F357">
        <f t="shared" si="72"/>
        <v>0.27558686929802018</v>
      </c>
      <c r="G357">
        <f t="shared" si="75"/>
        <v>244.12934597375565</v>
      </c>
      <c r="H357" t="s">
        <v>129</v>
      </c>
      <c r="I357">
        <v>1774</v>
      </c>
      <c r="J357">
        <v>777</v>
      </c>
      <c r="K357">
        <v>18</v>
      </c>
      <c r="L357">
        <v>6</v>
      </c>
      <c r="M357">
        <v>0</v>
      </c>
      <c r="N357">
        <f t="shared" si="73"/>
        <v>24</v>
      </c>
      <c r="O357">
        <v>0</v>
      </c>
      <c r="P357" t="str">
        <f t="shared" si="74"/>
        <v>Nem</v>
      </c>
      <c r="W357" t="b">
        <f t="shared" si="77"/>
        <v>0</v>
      </c>
      <c r="X357" t="b">
        <f t="shared" si="78"/>
        <v>0</v>
      </c>
      <c r="Y357" t="b">
        <f t="shared" si="79"/>
        <v>0</v>
      </c>
      <c r="Z357" t="b">
        <f t="shared" si="80"/>
        <v>0</v>
      </c>
      <c r="AA357" t="b">
        <f t="shared" si="81"/>
        <v>0</v>
      </c>
      <c r="AB357" t="str">
        <f t="shared" si="76"/>
        <v>nem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5584-16C6-4345-9BCD-26EA3F19A8BF}">
  <dimension ref="A1:AC45"/>
  <sheetViews>
    <sheetView zoomScaleNormal="100" workbookViewId="0">
      <selection activeCell="M1" activeCellId="2" sqref="A1:A1048576 K1:L1048576 M1:M1048576"/>
    </sheetView>
  </sheetViews>
  <sheetFormatPr defaultRowHeight="15" x14ac:dyDescent="0.25"/>
  <cols>
    <col min="1" max="1" width="73.5703125" customWidth="1"/>
    <col min="2" max="5" width="0" hidden="1" customWidth="1"/>
    <col min="6" max="6" width="12" hidden="1" customWidth="1"/>
    <col min="7" max="7" width="13.28515625" customWidth="1"/>
    <col min="8" max="8" width="37.5703125" customWidth="1"/>
    <col min="9" max="16" width="10.7109375" customWidth="1"/>
  </cols>
  <sheetData>
    <row r="1" spans="1:29" ht="81.75" customHeight="1" x14ac:dyDescent="0.25">
      <c r="A1" s="14" t="s">
        <v>4</v>
      </c>
      <c r="B1" s="15" t="s">
        <v>5</v>
      </c>
      <c r="C1" s="15" t="s">
        <v>0</v>
      </c>
      <c r="D1" s="15" t="s">
        <v>6</v>
      </c>
      <c r="E1" s="15" t="s">
        <v>1</v>
      </c>
      <c r="F1" s="15" t="s">
        <v>7</v>
      </c>
      <c r="G1" s="15" t="s">
        <v>8</v>
      </c>
      <c r="H1" s="15" t="s">
        <v>9</v>
      </c>
      <c r="I1" s="15" t="s">
        <v>10</v>
      </c>
      <c r="J1" s="15" t="s">
        <v>11</v>
      </c>
      <c r="K1" s="15" t="s">
        <v>12</v>
      </c>
      <c r="L1" s="15" t="s">
        <v>13</v>
      </c>
      <c r="M1" s="15" t="s">
        <v>14</v>
      </c>
      <c r="N1" s="15" t="s">
        <v>15</v>
      </c>
      <c r="O1" s="15" t="s">
        <v>16</v>
      </c>
      <c r="P1" s="16" t="s">
        <v>17</v>
      </c>
    </row>
    <row r="2" spans="1:29" x14ac:dyDescent="0.25">
      <c r="A2" s="17" t="s">
        <v>329</v>
      </c>
      <c r="B2" s="1" t="s">
        <v>40</v>
      </c>
      <c r="C2" s="1">
        <v>46.481732600000001</v>
      </c>
      <c r="D2" s="1">
        <v>0.81125927590158442</v>
      </c>
      <c r="E2" s="1">
        <v>13.5208066</v>
      </c>
      <c r="F2" s="1">
        <v>0.23598259269537994</v>
      </c>
      <c r="G2" s="2">
        <v>433.51794609988474</v>
      </c>
      <c r="H2" s="1" t="s">
        <v>27</v>
      </c>
      <c r="I2" s="12">
        <v>1752</v>
      </c>
      <c r="J2" s="12">
        <v>754</v>
      </c>
      <c r="K2" s="13">
        <v>9</v>
      </c>
      <c r="L2" s="13">
        <v>11</v>
      </c>
      <c r="M2" s="13">
        <v>5</v>
      </c>
      <c r="N2" s="13">
        <v>25</v>
      </c>
      <c r="O2" s="13">
        <v>0</v>
      </c>
      <c r="P2" s="18" t="s">
        <v>419</v>
      </c>
      <c r="W2" t="str">
        <f>IF(OR(IFERROR(SEARCH(H2,"Jún"), FALSE),IFERROR(SEARCH(H2,"Júl"), FALSE),IFERROR(SEARCH(H2,"Aug"), FALSE),IFERROR(SEARCH(H2,"Egész évben"), FALSE)),"igen","nem")</f>
        <v>nem</v>
      </c>
      <c r="X2" t="b">
        <f>IFERROR(SEARCH("Jún",C2), FALSE)</f>
        <v>0</v>
      </c>
      <c r="Y2" t="b">
        <f>IFERROR(SEARCH("Júl",C2), FALSE)</f>
        <v>0</v>
      </c>
      <c r="Z2" t="b">
        <f>IFERROR(SEARCH("Aug",C2), FALSE)</f>
        <v>0</v>
      </c>
      <c r="AA2" t="b">
        <f>IFERROR(SEARCH("Egész évben",C2), FALSE)</f>
        <v>0</v>
      </c>
      <c r="AB2" t="b">
        <f t="shared" ref="AB2" si="0">OR(X2,Y2,Z2,AA2)</f>
        <v>0</v>
      </c>
      <c r="AC2" t="str">
        <f t="shared" ref="AC2" si="1">IF(AB2, "igen", "nem")</f>
        <v>nem</v>
      </c>
    </row>
    <row r="3" spans="1:29" x14ac:dyDescent="0.25">
      <c r="A3" s="17" t="s">
        <v>214</v>
      </c>
      <c r="B3" s="1" t="s">
        <v>40</v>
      </c>
      <c r="C3" s="1">
        <v>46.731048000000001</v>
      </c>
      <c r="D3" s="1">
        <v>0.81561065050751114</v>
      </c>
      <c r="E3" s="1">
        <v>12.327947</v>
      </c>
      <c r="F3" s="1">
        <v>0.21516326516135739</v>
      </c>
      <c r="G3" s="2">
        <v>514.87044243891785</v>
      </c>
      <c r="H3" s="1" t="s">
        <v>23</v>
      </c>
      <c r="I3" s="12">
        <v>2200</v>
      </c>
      <c r="J3" s="12">
        <v>1130</v>
      </c>
      <c r="K3" s="13">
        <v>17</v>
      </c>
      <c r="L3" s="13">
        <v>39</v>
      </c>
      <c r="M3" s="13">
        <v>18</v>
      </c>
      <c r="N3" s="13">
        <v>74</v>
      </c>
      <c r="O3" s="13">
        <v>4</v>
      </c>
      <c r="P3" s="18" t="s">
        <v>419</v>
      </c>
      <c r="W3" t="str">
        <f>IF(OR(IFERROR(SEARCH(H3,"Jún"), FALSE),IFERROR(SEARCH(H3,"Júl"), FALSE),IFERROR(SEARCH(H3,"Aug"), FALSE),IFERROR(SEARCH(H3,"Egész évben"), FALSE)),"igen","nem")</f>
        <v>nem</v>
      </c>
      <c r="X3" t="b">
        <f>IFERROR(SEARCH("Jún",C3), FALSE)</f>
        <v>0</v>
      </c>
      <c r="Y3" t="b">
        <f>IFERROR(SEARCH("Júl",C3), FALSE)</f>
        <v>0</v>
      </c>
      <c r="Z3" t="b">
        <f>IFERROR(SEARCH("Aug",C3), FALSE)</f>
        <v>0</v>
      </c>
      <c r="AA3" t="b">
        <f>IFERROR(SEARCH("Egész évben",C3), FALSE)</f>
        <v>0</v>
      </c>
      <c r="AB3" t="b">
        <f t="shared" ref="AB3:AB45" si="2">OR(X3,Y3,Z3,AA3)</f>
        <v>0</v>
      </c>
      <c r="AC3" t="str">
        <f t="shared" ref="AC3:AC45" si="3">IF(AB3, "igen", "nem")</f>
        <v>nem</v>
      </c>
    </row>
    <row r="4" spans="1:29" x14ac:dyDescent="0.25">
      <c r="A4" s="17" t="s">
        <v>141</v>
      </c>
      <c r="B4" s="1" t="s">
        <v>40</v>
      </c>
      <c r="C4" s="1">
        <v>46.538333199999997</v>
      </c>
      <c r="D4" s="1">
        <v>0.81224714273018872</v>
      </c>
      <c r="E4" s="1">
        <v>12.1373506</v>
      </c>
      <c r="F4" s="1">
        <v>0.21183673043890927</v>
      </c>
      <c r="G4" s="2">
        <v>533.87556016299322</v>
      </c>
      <c r="H4" s="1" t="s">
        <v>23</v>
      </c>
      <c r="I4" s="12">
        <v>2924</v>
      </c>
      <c r="J4" s="12">
        <v>1224</v>
      </c>
      <c r="K4" s="13">
        <v>45</v>
      </c>
      <c r="L4" s="13">
        <v>55</v>
      </c>
      <c r="M4" s="13">
        <v>20</v>
      </c>
      <c r="N4" s="13">
        <v>120</v>
      </c>
      <c r="O4" s="13">
        <v>11</v>
      </c>
      <c r="P4" s="18" t="s">
        <v>419</v>
      </c>
      <c r="W4" t="str">
        <f>IF(OR(IFERROR(SEARCH(H4,"Jún"), FALSE),IFERROR(SEARCH(H4,"Júl"), FALSE),IFERROR(SEARCH(H4,"Aug"), FALSE),IFERROR(SEARCH(H4,"Egész évben"), FALSE)),"igen","nem")</f>
        <v>nem</v>
      </c>
      <c r="X4" t="b">
        <f>IFERROR(SEARCH("Jún",C4), FALSE)</f>
        <v>0</v>
      </c>
      <c r="Y4" t="b">
        <f>IFERROR(SEARCH("Júl",C4), FALSE)</f>
        <v>0</v>
      </c>
      <c r="Z4" t="b">
        <f>IFERROR(SEARCH("Aug",C4), FALSE)</f>
        <v>0</v>
      </c>
      <c r="AA4" t="b">
        <f>IFERROR(SEARCH("Egész évben",C4), FALSE)</f>
        <v>0</v>
      </c>
      <c r="AB4" t="b">
        <f t="shared" si="2"/>
        <v>0</v>
      </c>
      <c r="AC4" t="str">
        <f t="shared" si="3"/>
        <v>nem</v>
      </c>
    </row>
    <row r="5" spans="1:29" x14ac:dyDescent="0.25">
      <c r="A5" s="17" t="s">
        <v>146</v>
      </c>
      <c r="B5" s="1" t="s">
        <v>40</v>
      </c>
      <c r="C5" s="1">
        <v>46.738779100000002</v>
      </c>
      <c r="D5" s="1">
        <v>0.81574558365731209</v>
      </c>
      <c r="E5" s="1">
        <v>11.9583111</v>
      </c>
      <c r="F5" s="1">
        <v>0.20871190167278486</v>
      </c>
      <c r="G5" s="2">
        <v>542.2746735197328</v>
      </c>
      <c r="H5" s="1" t="s">
        <v>23</v>
      </c>
      <c r="I5" s="12">
        <v>2275</v>
      </c>
      <c r="J5" s="12">
        <v>973</v>
      </c>
      <c r="K5" s="13">
        <v>52</v>
      </c>
      <c r="L5" s="13">
        <v>42</v>
      </c>
      <c r="M5" s="13">
        <v>25</v>
      </c>
      <c r="N5" s="13">
        <v>119</v>
      </c>
      <c r="O5" s="13">
        <v>7</v>
      </c>
      <c r="P5" s="18" t="s">
        <v>419</v>
      </c>
      <c r="W5" t="str">
        <f>IF(OR(IFERROR(SEARCH(H5,"Jún"), FALSE),IFERROR(SEARCH(H5,"Júl"), FALSE),IFERROR(SEARCH(H5,"Aug"), FALSE),IFERROR(SEARCH(H5,"Egész évben"), FALSE)),"igen","nem")</f>
        <v>nem</v>
      </c>
      <c r="X5" t="b">
        <f>IFERROR(SEARCH("Jún",C5), FALSE)</f>
        <v>0</v>
      </c>
      <c r="Y5" t="b">
        <f>IFERROR(SEARCH("Júl",C5), FALSE)</f>
        <v>0</v>
      </c>
      <c r="Z5" t="b">
        <f>IFERROR(SEARCH("Aug",C5), FALSE)</f>
        <v>0</v>
      </c>
      <c r="AA5" t="b">
        <f>IFERROR(SEARCH("Egész évben",C5), FALSE)</f>
        <v>0</v>
      </c>
      <c r="AB5" t="b">
        <f t="shared" si="2"/>
        <v>0</v>
      </c>
      <c r="AC5" t="str">
        <f t="shared" si="3"/>
        <v>nem</v>
      </c>
    </row>
    <row r="6" spans="1:29" x14ac:dyDescent="0.25">
      <c r="A6" s="17" t="s">
        <v>209</v>
      </c>
      <c r="B6" s="1" t="s">
        <v>40</v>
      </c>
      <c r="C6" s="1">
        <v>46.358117</v>
      </c>
      <c r="D6" s="1">
        <v>0.80910177667475613</v>
      </c>
      <c r="E6" s="1">
        <v>12.05748586</v>
      </c>
      <c r="F6" s="1">
        <v>0.21044282776966006</v>
      </c>
      <c r="G6" s="2">
        <v>544.97630697868271</v>
      </c>
      <c r="H6" s="1" t="s">
        <v>27</v>
      </c>
      <c r="I6" s="12">
        <v>2100</v>
      </c>
      <c r="J6" s="12">
        <v>1000</v>
      </c>
      <c r="K6" s="13">
        <v>30</v>
      </c>
      <c r="L6" s="13">
        <v>44</v>
      </c>
      <c r="M6" s="13">
        <v>6</v>
      </c>
      <c r="N6" s="13">
        <v>80</v>
      </c>
      <c r="O6" s="13">
        <v>0</v>
      </c>
      <c r="P6" s="18" t="s">
        <v>419</v>
      </c>
      <c r="W6" t="str">
        <f>IF(OR(IFERROR(SEARCH(H6,"Jún"), FALSE),IFERROR(SEARCH(H6,"Júl"), FALSE),IFERROR(SEARCH(H6,"Aug"), FALSE),IFERROR(SEARCH(H6,"Egész évben"), FALSE)),"igen","nem")</f>
        <v>nem</v>
      </c>
      <c r="X6" t="b">
        <f>IFERROR(SEARCH("Jún",C6), FALSE)</f>
        <v>0</v>
      </c>
      <c r="Y6" t="b">
        <f>IFERROR(SEARCH("Júl",C6), FALSE)</f>
        <v>0</v>
      </c>
      <c r="Z6" t="b">
        <f>IFERROR(SEARCH("Aug",C6), FALSE)</f>
        <v>0</v>
      </c>
      <c r="AA6" t="b">
        <f>IFERROR(SEARCH("Egész évben",C6), FALSE)</f>
        <v>0</v>
      </c>
      <c r="AB6" t="b">
        <f t="shared" si="2"/>
        <v>0</v>
      </c>
      <c r="AC6" t="str">
        <f t="shared" si="3"/>
        <v>nem</v>
      </c>
    </row>
    <row r="7" spans="1:29" x14ac:dyDescent="0.25">
      <c r="A7" s="17" t="s">
        <v>178</v>
      </c>
      <c r="B7" s="1" t="s">
        <v>40</v>
      </c>
      <c r="C7" s="1">
        <v>46.564670249999999</v>
      </c>
      <c r="D7" s="1">
        <v>0.81270681096795105</v>
      </c>
      <c r="E7" s="1">
        <v>11.910219319999999</v>
      </c>
      <c r="F7" s="1">
        <v>0.20787254176864012</v>
      </c>
      <c r="G7" s="2">
        <v>550.05032337015405</v>
      </c>
      <c r="H7" s="1" t="s">
        <v>27</v>
      </c>
      <c r="I7" s="12">
        <v>2550</v>
      </c>
      <c r="J7" s="12">
        <v>1324</v>
      </c>
      <c r="K7" s="13">
        <v>70</v>
      </c>
      <c r="L7" s="13">
        <v>52</v>
      </c>
      <c r="M7" s="13">
        <v>8</v>
      </c>
      <c r="N7" s="13">
        <v>130</v>
      </c>
      <c r="O7" s="13">
        <v>8</v>
      </c>
      <c r="P7" s="18" t="s">
        <v>419</v>
      </c>
      <c r="W7" t="str">
        <f>IF(OR(IFERROR(SEARCH(H7,"Jún"), FALSE),IFERROR(SEARCH(H7,"Júl"), FALSE),IFERROR(SEARCH(H7,"Aug"), FALSE),IFERROR(SEARCH(H7,"Egész évben"), FALSE)),"igen","nem")</f>
        <v>nem</v>
      </c>
      <c r="X7" t="b">
        <f>IFERROR(SEARCH("Jún",C7), FALSE)</f>
        <v>0</v>
      </c>
      <c r="Y7" t="b">
        <f>IFERROR(SEARCH("Júl",C7), FALSE)</f>
        <v>0</v>
      </c>
      <c r="Z7" t="b">
        <f>IFERROR(SEARCH("Aug",C7), FALSE)</f>
        <v>0</v>
      </c>
      <c r="AA7" t="b">
        <f>IFERROR(SEARCH("Egész évben",C7), FALSE)</f>
        <v>0</v>
      </c>
      <c r="AB7" t="b">
        <f t="shared" si="2"/>
        <v>0</v>
      </c>
      <c r="AC7" t="str">
        <f t="shared" si="3"/>
        <v>nem</v>
      </c>
    </row>
    <row r="8" spans="1:29" x14ac:dyDescent="0.25">
      <c r="A8" s="17" t="s">
        <v>231</v>
      </c>
      <c r="B8" s="1" t="s">
        <v>40</v>
      </c>
      <c r="C8" s="1">
        <v>46.4971763</v>
      </c>
      <c r="D8" s="1">
        <v>0.81152881931527465</v>
      </c>
      <c r="E8" s="1">
        <v>11.874090199999999</v>
      </c>
      <c r="F8" s="1">
        <v>0.20724196966879199</v>
      </c>
      <c r="G8" s="2">
        <v>554.52725709224728</v>
      </c>
      <c r="H8" s="1" t="s">
        <v>27</v>
      </c>
      <c r="I8" s="12">
        <v>2478</v>
      </c>
      <c r="J8" s="12">
        <v>1602</v>
      </c>
      <c r="K8" s="13">
        <v>32</v>
      </c>
      <c r="L8" s="13">
        <v>22</v>
      </c>
      <c r="M8" s="13">
        <v>8</v>
      </c>
      <c r="N8" s="13">
        <v>62</v>
      </c>
      <c r="O8" s="13">
        <v>4</v>
      </c>
      <c r="P8" s="18" t="s">
        <v>419</v>
      </c>
      <c r="W8" t="str">
        <f>IF(OR(IFERROR(SEARCH(H8,"Jún"), FALSE),IFERROR(SEARCH(H8,"Júl"), FALSE),IFERROR(SEARCH(H8,"Aug"), FALSE),IFERROR(SEARCH(H8,"Egész évben"), FALSE)),"igen","nem")</f>
        <v>nem</v>
      </c>
      <c r="X8" t="b">
        <f>IFERROR(SEARCH("Jún",C8), FALSE)</f>
        <v>0</v>
      </c>
      <c r="Y8" t="b">
        <f>IFERROR(SEARCH("Júl",C8), FALSE)</f>
        <v>0</v>
      </c>
      <c r="Z8" t="b">
        <f>IFERROR(SEARCH("Aug",C8), FALSE)</f>
        <v>0</v>
      </c>
      <c r="AA8" t="b">
        <f>IFERROR(SEARCH("Egész évben",C8), FALSE)</f>
        <v>0</v>
      </c>
      <c r="AB8" t="b">
        <f t="shared" si="2"/>
        <v>0</v>
      </c>
      <c r="AC8" t="str">
        <f t="shared" si="3"/>
        <v>nem</v>
      </c>
    </row>
    <row r="9" spans="1:29" x14ac:dyDescent="0.25">
      <c r="A9" s="17" t="s">
        <v>266</v>
      </c>
      <c r="B9" s="1" t="s">
        <v>40</v>
      </c>
      <c r="C9" s="1">
        <v>46.826668849999997</v>
      </c>
      <c r="D9" s="1">
        <v>0.81727954917356671</v>
      </c>
      <c r="E9" s="1">
        <v>11.664520700000001</v>
      </c>
      <c r="F9" s="1">
        <v>0.20358429188203375</v>
      </c>
      <c r="G9" s="2">
        <v>562.38784057316047</v>
      </c>
      <c r="H9" s="1" t="s">
        <v>27</v>
      </c>
      <c r="I9" s="12">
        <v>1354</v>
      </c>
      <c r="J9" s="12">
        <v>772</v>
      </c>
      <c r="K9" s="13">
        <v>17</v>
      </c>
      <c r="L9" s="13">
        <v>25</v>
      </c>
      <c r="M9" s="13">
        <v>9</v>
      </c>
      <c r="N9" s="13">
        <v>51</v>
      </c>
      <c r="O9" s="13">
        <v>6</v>
      </c>
      <c r="P9" s="18" t="s">
        <v>419</v>
      </c>
      <c r="W9" t="str">
        <f>IF(OR(IFERROR(SEARCH(H9,"Jún"), FALSE),IFERROR(SEARCH(H9,"Júl"), FALSE),IFERROR(SEARCH(H9,"Aug"), FALSE),IFERROR(SEARCH(H9,"Egész évben"), FALSE)),"igen","nem")</f>
        <v>nem</v>
      </c>
      <c r="X9" t="b">
        <f>IFERROR(SEARCH("Jún",C9), FALSE)</f>
        <v>0</v>
      </c>
      <c r="Y9" t="b">
        <f>IFERROR(SEARCH("Júl",C9), FALSE)</f>
        <v>0</v>
      </c>
      <c r="Z9" t="b">
        <f>IFERROR(SEARCH("Aug",C9), FALSE)</f>
        <v>0</v>
      </c>
      <c r="AA9" t="b">
        <f>IFERROR(SEARCH("Egész évben",C9), FALSE)</f>
        <v>0</v>
      </c>
      <c r="AB9" t="b">
        <f t="shared" si="2"/>
        <v>0</v>
      </c>
      <c r="AC9" t="str">
        <f t="shared" si="3"/>
        <v>nem</v>
      </c>
    </row>
    <row r="10" spans="1:29" x14ac:dyDescent="0.25">
      <c r="A10" s="17" t="s">
        <v>225</v>
      </c>
      <c r="B10" s="1" t="s">
        <v>40</v>
      </c>
      <c r="C10" s="1">
        <v>46.36726075</v>
      </c>
      <c r="D10" s="1">
        <v>0.80926136521823533</v>
      </c>
      <c r="E10" s="1">
        <v>11.802369560000001</v>
      </c>
      <c r="F10" s="1">
        <v>0.20599020835915446</v>
      </c>
      <c r="G10" s="2">
        <v>563.54228211072302</v>
      </c>
      <c r="H10" s="1" t="s">
        <v>23</v>
      </c>
      <c r="I10" s="12">
        <v>2513</v>
      </c>
      <c r="J10" s="12">
        <v>1190</v>
      </c>
      <c r="K10" s="13">
        <v>20</v>
      </c>
      <c r="L10" s="13">
        <v>38</v>
      </c>
      <c r="M10" s="13">
        <v>8</v>
      </c>
      <c r="N10" s="13">
        <v>66</v>
      </c>
      <c r="O10" s="13">
        <v>0</v>
      </c>
      <c r="P10" s="18" t="s">
        <v>419</v>
      </c>
      <c r="W10" t="str">
        <f>IF(OR(IFERROR(SEARCH(H10,"Jún"), FALSE),IFERROR(SEARCH(H10,"Júl"), FALSE),IFERROR(SEARCH(H10,"Aug"), FALSE),IFERROR(SEARCH(H10,"Egész évben"), FALSE)),"igen","nem")</f>
        <v>nem</v>
      </c>
      <c r="X10" t="b">
        <f>IFERROR(SEARCH("Jún",C10), FALSE)</f>
        <v>0</v>
      </c>
      <c r="Y10" t="b">
        <f>IFERROR(SEARCH("Júl",C10), FALSE)</f>
        <v>0</v>
      </c>
      <c r="Z10" t="b">
        <f>IFERROR(SEARCH("Aug",C10), FALSE)</f>
        <v>0</v>
      </c>
      <c r="AA10" t="b">
        <f>IFERROR(SEARCH("Egész évben",C10), FALSE)</f>
        <v>0</v>
      </c>
      <c r="AB10" t="b">
        <f t="shared" si="2"/>
        <v>0</v>
      </c>
      <c r="AC10" t="str">
        <f t="shared" si="3"/>
        <v>nem</v>
      </c>
    </row>
    <row r="11" spans="1:29" x14ac:dyDescent="0.25">
      <c r="A11" s="17" t="s">
        <v>236</v>
      </c>
      <c r="B11" s="1" t="s">
        <v>40</v>
      </c>
      <c r="C11" s="1">
        <v>46.262337700000003</v>
      </c>
      <c r="D11" s="1">
        <v>0.80743011253450081</v>
      </c>
      <c r="E11" s="1">
        <v>11.802828</v>
      </c>
      <c r="F11" s="1">
        <v>0.20599820964657728</v>
      </c>
      <c r="G11" s="2">
        <v>566.74037865554681</v>
      </c>
      <c r="H11" s="1" t="s">
        <v>23</v>
      </c>
      <c r="I11" s="12">
        <v>2357</v>
      </c>
      <c r="J11" s="12">
        <v>1404</v>
      </c>
      <c r="K11" s="13">
        <v>16</v>
      </c>
      <c r="L11" s="13">
        <v>32</v>
      </c>
      <c r="M11" s="13">
        <v>12</v>
      </c>
      <c r="N11" s="13">
        <v>60</v>
      </c>
      <c r="O11" s="13">
        <v>3</v>
      </c>
      <c r="P11" s="18" t="s">
        <v>419</v>
      </c>
      <c r="W11" t="str">
        <f>IF(OR(IFERROR(SEARCH(H11,"Jún"), FALSE),IFERROR(SEARCH(H11,"Júl"), FALSE),IFERROR(SEARCH(H11,"Aug"), FALSE),IFERROR(SEARCH(H11,"Egész évben"), FALSE)),"igen","nem")</f>
        <v>nem</v>
      </c>
      <c r="X11" t="b">
        <f>IFERROR(SEARCH("Jún",C11), FALSE)</f>
        <v>0</v>
      </c>
      <c r="Y11" t="b">
        <f>IFERROR(SEARCH("Júl",C11), FALSE)</f>
        <v>0</v>
      </c>
      <c r="Z11" t="b">
        <f>IFERROR(SEARCH("Aug",C11), FALSE)</f>
        <v>0</v>
      </c>
      <c r="AA11" t="b">
        <f>IFERROR(SEARCH("Egész évben",C11), FALSE)</f>
        <v>0</v>
      </c>
      <c r="AB11" t="b">
        <f t="shared" si="2"/>
        <v>0</v>
      </c>
      <c r="AC11" t="str">
        <f t="shared" si="3"/>
        <v>nem</v>
      </c>
    </row>
    <row r="12" spans="1:29" x14ac:dyDescent="0.25">
      <c r="A12" s="17" t="s">
        <v>39</v>
      </c>
      <c r="B12" s="1" t="s">
        <v>40</v>
      </c>
      <c r="C12" s="1">
        <v>46.576642700000001</v>
      </c>
      <c r="D12" s="1">
        <v>0.81291576963998147</v>
      </c>
      <c r="E12" s="1">
        <v>11.644421700000001</v>
      </c>
      <c r="F12" s="1">
        <v>0.2032334981556754</v>
      </c>
      <c r="G12" s="2">
        <v>569.52171939843811</v>
      </c>
      <c r="H12" s="1" t="s">
        <v>27</v>
      </c>
      <c r="I12" s="12">
        <v>2518</v>
      </c>
      <c r="J12" s="12">
        <v>1236</v>
      </c>
      <c r="K12" s="13">
        <v>52</v>
      </c>
      <c r="L12" s="13">
        <v>105</v>
      </c>
      <c r="M12" s="13">
        <v>18</v>
      </c>
      <c r="N12" s="13">
        <v>175</v>
      </c>
      <c r="O12" s="13">
        <v>10</v>
      </c>
      <c r="P12" s="18" t="s">
        <v>419</v>
      </c>
      <c r="W12" t="str">
        <f>IF(OR(IFERROR(SEARCH(H12,"Jún"), FALSE),IFERROR(SEARCH(H12,"Júl"), FALSE),IFERROR(SEARCH(H12,"Aug"), FALSE),IFERROR(SEARCH(H12,"Egész évben"), FALSE)),"igen","nem")</f>
        <v>nem</v>
      </c>
      <c r="X12" t="b">
        <f>IFERROR(SEARCH("Jún",C12), FALSE)</f>
        <v>0</v>
      </c>
      <c r="Y12" t="b">
        <f>IFERROR(SEARCH("Júl",C12), FALSE)</f>
        <v>0</v>
      </c>
      <c r="Z12" t="b">
        <f>IFERROR(SEARCH("Aug",C12), FALSE)</f>
        <v>0</v>
      </c>
      <c r="AA12" t="b">
        <f>IFERROR(SEARCH("Egész évben",C12), FALSE)</f>
        <v>0</v>
      </c>
      <c r="AB12" t="b">
        <f t="shared" si="2"/>
        <v>0</v>
      </c>
      <c r="AC12" t="str">
        <f t="shared" si="3"/>
        <v>nem</v>
      </c>
    </row>
    <row r="13" spans="1:29" x14ac:dyDescent="0.25">
      <c r="A13" s="17" t="s">
        <v>400</v>
      </c>
      <c r="B13" s="1" t="s">
        <v>40</v>
      </c>
      <c r="C13" s="1">
        <v>46.339027299999998</v>
      </c>
      <c r="D13" s="1">
        <v>0.80876859855653815</v>
      </c>
      <c r="E13" s="1">
        <v>11.70654171</v>
      </c>
      <c r="F13" s="1">
        <v>0.20431769686154719</v>
      </c>
      <c r="G13" s="2">
        <v>571.47023914495674</v>
      </c>
      <c r="H13" s="1" t="s">
        <v>27</v>
      </c>
      <c r="I13" s="12">
        <v>2340</v>
      </c>
      <c r="J13" s="12">
        <v>1370</v>
      </c>
      <c r="K13" s="13">
        <v>12</v>
      </c>
      <c r="L13" s="13">
        <v>10</v>
      </c>
      <c r="M13" s="13">
        <v>4</v>
      </c>
      <c r="N13" s="13">
        <v>26</v>
      </c>
      <c r="O13" s="13">
        <v>0</v>
      </c>
      <c r="P13" s="18" t="s">
        <v>419</v>
      </c>
      <c r="W13" t="str">
        <f>IF(OR(IFERROR(SEARCH(H13,"Jún"), FALSE),IFERROR(SEARCH(H13,"Júl"), FALSE),IFERROR(SEARCH(H13,"Aug"), FALSE),IFERROR(SEARCH(H13,"Egész évben"), FALSE)),"igen","nem")</f>
        <v>nem</v>
      </c>
      <c r="X13" t="b">
        <f>IFERROR(SEARCH("Jún",C13), FALSE)</f>
        <v>0</v>
      </c>
      <c r="Y13" t="b">
        <f>IFERROR(SEARCH("Júl",C13), FALSE)</f>
        <v>0</v>
      </c>
      <c r="Z13" t="b">
        <f>IFERROR(SEARCH("Aug",C13), FALSE)</f>
        <v>0</v>
      </c>
      <c r="AA13" t="b">
        <f>IFERROR(SEARCH("Egész évben",C13), FALSE)</f>
        <v>0</v>
      </c>
      <c r="AB13" t="b">
        <f t="shared" si="2"/>
        <v>0</v>
      </c>
      <c r="AC13" t="str">
        <f t="shared" si="3"/>
        <v>nem</v>
      </c>
    </row>
    <row r="14" spans="1:29" x14ac:dyDescent="0.25">
      <c r="A14" s="17" t="s">
        <v>239</v>
      </c>
      <c r="B14" s="1" t="s">
        <v>40</v>
      </c>
      <c r="C14" s="1">
        <v>46.563903600000003</v>
      </c>
      <c r="D14" s="1">
        <v>0.81269343040124076</v>
      </c>
      <c r="E14" s="1">
        <v>11.60457618</v>
      </c>
      <c r="F14" s="1">
        <v>0.20253806263950616</v>
      </c>
      <c r="G14" s="2">
        <v>572.8094122435416</v>
      </c>
      <c r="H14" s="1" t="s">
        <v>27</v>
      </c>
      <c r="I14" s="12">
        <v>1669</v>
      </c>
      <c r="J14" s="12">
        <v>1000</v>
      </c>
      <c r="K14" s="13">
        <v>14</v>
      </c>
      <c r="L14" s="13">
        <v>45</v>
      </c>
      <c r="M14" s="13">
        <v>1</v>
      </c>
      <c r="N14" s="13">
        <v>60</v>
      </c>
      <c r="O14" s="13">
        <v>2</v>
      </c>
      <c r="P14" s="18" t="s">
        <v>419</v>
      </c>
      <c r="W14" t="str">
        <f>IF(OR(IFERROR(SEARCH(H14,"Jún"), FALSE),IFERROR(SEARCH(H14,"Júl"), FALSE),IFERROR(SEARCH(H14,"Aug"), FALSE),IFERROR(SEARCH(H14,"Egész évben"), FALSE)),"igen","nem")</f>
        <v>nem</v>
      </c>
      <c r="X14" t="b">
        <f>IFERROR(SEARCH("Jún",C14), FALSE)</f>
        <v>0</v>
      </c>
      <c r="Y14" t="b">
        <f>IFERROR(SEARCH("Júl",C14), FALSE)</f>
        <v>0</v>
      </c>
      <c r="Z14" t="b">
        <f>IFERROR(SEARCH("Aug",C14), FALSE)</f>
        <v>0</v>
      </c>
      <c r="AA14" t="b">
        <f>IFERROR(SEARCH("Egész évben",C14), FALSE)</f>
        <v>0</v>
      </c>
      <c r="AB14" t="b">
        <f t="shared" si="2"/>
        <v>0</v>
      </c>
      <c r="AC14" t="str">
        <f t="shared" si="3"/>
        <v>nem</v>
      </c>
    </row>
    <row r="15" spans="1:29" x14ac:dyDescent="0.25">
      <c r="A15" s="17" t="s">
        <v>301</v>
      </c>
      <c r="B15" s="1" t="s">
        <v>40</v>
      </c>
      <c r="C15" s="1">
        <v>46.420897349999997</v>
      </c>
      <c r="D15" s="1">
        <v>0.81019750048781047</v>
      </c>
      <c r="E15" s="1">
        <v>11.58845807</v>
      </c>
      <c r="F15" s="1">
        <v>0.20225674855080752</v>
      </c>
      <c r="G15" s="2">
        <v>577.82952805567697</v>
      </c>
      <c r="H15" s="1" t="s">
        <v>27</v>
      </c>
      <c r="I15" s="12">
        <v>2337</v>
      </c>
      <c r="J15" s="12">
        <v>1200</v>
      </c>
      <c r="K15" s="13">
        <v>21</v>
      </c>
      <c r="L15" s="13">
        <v>14</v>
      </c>
      <c r="M15" s="13">
        <v>3</v>
      </c>
      <c r="N15" s="13">
        <v>38</v>
      </c>
      <c r="O15" s="13">
        <v>7</v>
      </c>
      <c r="P15" s="18" t="s">
        <v>419</v>
      </c>
      <c r="W15" t="str">
        <f>IF(OR(IFERROR(SEARCH(H15,"Jún"), FALSE),IFERROR(SEARCH(H15,"Júl"), FALSE),IFERROR(SEARCH(H15,"Aug"), FALSE),IFERROR(SEARCH(H15,"Egész évben"), FALSE)),"igen","nem")</f>
        <v>nem</v>
      </c>
      <c r="X15" t="b">
        <f>IFERROR(SEARCH("Jún",C15), FALSE)</f>
        <v>0</v>
      </c>
      <c r="Y15" t="b">
        <f>IFERROR(SEARCH("Júl",C15), FALSE)</f>
        <v>0</v>
      </c>
      <c r="Z15" t="b">
        <f>IFERROR(SEARCH("Aug",C15), FALSE)</f>
        <v>0</v>
      </c>
      <c r="AA15" t="b">
        <f>IFERROR(SEARCH("Egész évben",C15), FALSE)</f>
        <v>0</v>
      </c>
      <c r="AB15" t="b">
        <f t="shared" si="2"/>
        <v>0</v>
      </c>
      <c r="AC15" t="str">
        <f t="shared" si="3"/>
        <v>nem</v>
      </c>
    </row>
    <row r="16" spans="1:29" x14ac:dyDescent="0.25">
      <c r="A16" s="17" t="s">
        <v>291</v>
      </c>
      <c r="B16" s="1" t="s">
        <v>40</v>
      </c>
      <c r="C16" s="1">
        <v>46.356306699999998</v>
      </c>
      <c r="D16" s="1">
        <v>0.80907018097930727</v>
      </c>
      <c r="E16" s="1">
        <v>11.537193050000001</v>
      </c>
      <c r="F16" s="1">
        <v>0.20136200516070679</v>
      </c>
      <c r="G16" s="2">
        <v>583.48384403528166</v>
      </c>
      <c r="H16" s="1" t="s">
        <v>23</v>
      </c>
      <c r="I16" s="12">
        <v>1540</v>
      </c>
      <c r="J16" s="12">
        <v>1050</v>
      </c>
      <c r="K16" s="13">
        <v>9</v>
      </c>
      <c r="L16" s="13">
        <v>32</v>
      </c>
      <c r="M16" s="13">
        <v>7</v>
      </c>
      <c r="N16" s="13">
        <v>48</v>
      </c>
      <c r="O16" s="13">
        <v>3</v>
      </c>
      <c r="P16" s="18" t="s">
        <v>419</v>
      </c>
      <c r="W16" t="str">
        <f>IF(OR(IFERROR(SEARCH(H16,"Jún"), FALSE),IFERROR(SEARCH(H16,"Júl"), FALSE),IFERROR(SEARCH(H16,"Aug"), FALSE),IFERROR(SEARCH(H16,"Egész évben"), FALSE)),"igen","nem")</f>
        <v>nem</v>
      </c>
      <c r="X16" t="b">
        <f>IFERROR(SEARCH("Jún",C16), FALSE)</f>
        <v>0</v>
      </c>
      <c r="Y16" t="b">
        <f>IFERROR(SEARCH("Júl",C16), FALSE)</f>
        <v>0</v>
      </c>
      <c r="Z16" t="b">
        <f>IFERROR(SEARCH("Aug",C16), FALSE)</f>
        <v>0</v>
      </c>
      <c r="AA16" t="b">
        <f>IFERROR(SEARCH("Egész évben",C16), FALSE)</f>
        <v>0</v>
      </c>
      <c r="AB16" t="b">
        <f t="shared" si="2"/>
        <v>0</v>
      </c>
      <c r="AC16" t="str">
        <f t="shared" si="3"/>
        <v>nem</v>
      </c>
    </row>
    <row r="17" spans="1:29" x14ac:dyDescent="0.25">
      <c r="A17" s="17" t="s">
        <v>399</v>
      </c>
      <c r="B17" s="1" t="s">
        <v>40</v>
      </c>
      <c r="C17" s="1">
        <v>46.347316399999997</v>
      </c>
      <c r="D17" s="1">
        <v>0.80891327064356522</v>
      </c>
      <c r="E17" s="1">
        <v>11.4515353</v>
      </c>
      <c r="F17" s="1">
        <v>0.19986699539335659</v>
      </c>
      <c r="G17" s="2">
        <v>590.08913765265527</v>
      </c>
      <c r="H17" s="1" t="s">
        <v>27</v>
      </c>
      <c r="I17" s="12">
        <v>2250</v>
      </c>
      <c r="J17" s="12">
        <v>1850</v>
      </c>
      <c r="K17" s="13">
        <v>4</v>
      </c>
      <c r="L17" s="13">
        <v>2</v>
      </c>
      <c r="M17" s="13">
        <v>1</v>
      </c>
      <c r="N17" s="13">
        <v>7</v>
      </c>
      <c r="O17" s="13">
        <v>0</v>
      </c>
      <c r="P17" s="18" t="s">
        <v>419</v>
      </c>
      <c r="W17" t="str">
        <f>IF(OR(IFERROR(SEARCH(H17,"Jún"), FALSE),IFERROR(SEARCH(H17,"Júl"), FALSE),IFERROR(SEARCH(H17,"Aug"), FALSE),IFERROR(SEARCH(H17,"Egész évben"), FALSE)),"igen","nem")</f>
        <v>nem</v>
      </c>
      <c r="X17" t="b">
        <f>IFERROR(SEARCH("Jún",C17), FALSE)</f>
        <v>0</v>
      </c>
      <c r="Y17" t="b">
        <f>IFERROR(SEARCH("Júl",C17), FALSE)</f>
        <v>0</v>
      </c>
      <c r="Z17" t="b">
        <f>IFERROR(SEARCH("Aug",C17), FALSE)</f>
        <v>0</v>
      </c>
      <c r="AA17" t="b">
        <f>IFERROR(SEARCH("Egész évben",C17), FALSE)</f>
        <v>0</v>
      </c>
      <c r="AB17" t="b">
        <f t="shared" si="2"/>
        <v>0</v>
      </c>
      <c r="AC17" t="str">
        <f t="shared" si="3"/>
        <v>nem</v>
      </c>
    </row>
    <row r="18" spans="1:29" x14ac:dyDescent="0.25">
      <c r="A18" s="17" t="s">
        <v>254</v>
      </c>
      <c r="B18" s="1" t="s">
        <v>40</v>
      </c>
      <c r="C18" s="1">
        <v>45.685070400000001</v>
      </c>
      <c r="D18" s="1">
        <v>0.79735489748540289</v>
      </c>
      <c r="E18" s="1">
        <v>11.772960400000001</v>
      </c>
      <c r="F18" s="1">
        <v>0.20547692168690865</v>
      </c>
      <c r="G18" s="2">
        <v>590.48701627657829</v>
      </c>
      <c r="H18" s="1" t="s">
        <v>27</v>
      </c>
      <c r="I18" s="12">
        <v>2428</v>
      </c>
      <c r="J18" s="12">
        <v>1320</v>
      </c>
      <c r="K18" s="13">
        <v>7</v>
      </c>
      <c r="L18" s="13">
        <v>40</v>
      </c>
      <c r="M18" s="13">
        <v>7</v>
      </c>
      <c r="N18" s="13">
        <v>54</v>
      </c>
      <c r="O18" s="13">
        <v>6</v>
      </c>
      <c r="P18" s="18" t="s">
        <v>419</v>
      </c>
      <c r="W18" t="str">
        <f>IF(OR(IFERROR(SEARCH(H18,"Jún"), FALSE),IFERROR(SEARCH(H18,"Júl"), FALSE),IFERROR(SEARCH(H18,"Aug"), FALSE),IFERROR(SEARCH(H18,"Egész évben"), FALSE)),"igen","nem")</f>
        <v>nem</v>
      </c>
      <c r="X18" t="b">
        <f>IFERROR(SEARCH("Jún",C18), FALSE)</f>
        <v>0</v>
      </c>
      <c r="Y18" t="b">
        <f>IFERROR(SEARCH("Júl",C18), FALSE)</f>
        <v>0</v>
      </c>
      <c r="Z18" t="b">
        <f>IFERROR(SEARCH("Aug",C18), FALSE)</f>
        <v>0</v>
      </c>
      <c r="AA18" t="b">
        <f>IFERROR(SEARCH("Egész évben",C18), FALSE)</f>
        <v>0</v>
      </c>
      <c r="AB18" t="b">
        <f t="shared" si="2"/>
        <v>0</v>
      </c>
      <c r="AC18" t="str">
        <f t="shared" si="3"/>
        <v>nem</v>
      </c>
    </row>
    <row r="19" spans="1:29" x14ac:dyDescent="0.25">
      <c r="A19" s="17" t="s">
        <v>326</v>
      </c>
      <c r="B19" s="1" t="s">
        <v>40</v>
      </c>
      <c r="C19" s="1">
        <v>46.665558300000001</v>
      </c>
      <c r="D19" s="1">
        <v>0.81446763961636781</v>
      </c>
      <c r="E19" s="1">
        <v>11.307125600000001</v>
      </c>
      <c r="F19" s="1">
        <v>0.19734657065653935</v>
      </c>
      <c r="G19" s="2">
        <v>592.55211970558241</v>
      </c>
      <c r="H19" s="1" t="s">
        <v>59</v>
      </c>
      <c r="I19" s="12">
        <v>1609</v>
      </c>
      <c r="J19" s="12">
        <v>648</v>
      </c>
      <c r="K19" s="13">
        <v>12</v>
      </c>
      <c r="L19" s="13">
        <v>25</v>
      </c>
      <c r="M19" s="13">
        <v>3</v>
      </c>
      <c r="N19" s="13">
        <v>40</v>
      </c>
      <c r="O19" s="13">
        <v>5</v>
      </c>
      <c r="P19" s="18" t="s">
        <v>419</v>
      </c>
      <c r="W19" t="str">
        <f>IF(OR(IFERROR(SEARCH(H19,"Jún"), FALSE),IFERROR(SEARCH(H19,"Júl"), FALSE),IFERROR(SEARCH(H19,"Aug"), FALSE),IFERROR(SEARCH(H19,"Egész évben"), FALSE)),"igen","nem")</f>
        <v>nem</v>
      </c>
      <c r="X19" t="b">
        <f>IFERROR(SEARCH("Jún",C19), FALSE)</f>
        <v>0</v>
      </c>
      <c r="Y19" t="b">
        <f>IFERROR(SEARCH("Júl",C19), FALSE)</f>
        <v>0</v>
      </c>
      <c r="Z19" t="b">
        <f>IFERROR(SEARCH("Aug",C19), FALSE)</f>
        <v>0</v>
      </c>
      <c r="AA19" t="b">
        <f>IFERROR(SEARCH("Egész évben",C19), FALSE)</f>
        <v>0</v>
      </c>
      <c r="AB19" t="b">
        <f t="shared" si="2"/>
        <v>0</v>
      </c>
      <c r="AC19" t="str">
        <f t="shared" si="3"/>
        <v>nem</v>
      </c>
    </row>
    <row r="20" spans="1:29" x14ac:dyDescent="0.25">
      <c r="A20" s="17" t="s">
        <v>359</v>
      </c>
      <c r="B20" s="1" t="s">
        <v>40</v>
      </c>
      <c r="C20" s="1">
        <v>46.795277800000001</v>
      </c>
      <c r="D20" s="1">
        <v>0.81673167199540853</v>
      </c>
      <c r="E20" s="1">
        <v>11.0895074</v>
      </c>
      <c r="F20" s="1">
        <v>0.19354841655427582</v>
      </c>
      <c r="G20" s="2">
        <v>606.06595031295296</v>
      </c>
      <c r="H20" s="1" t="s">
        <v>27</v>
      </c>
      <c r="I20" s="12">
        <v>2502</v>
      </c>
      <c r="J20" s="12">
        <v>1601</v>
      </c>
      <c r="K20" s="13">
        <v>5</v>
      </c>
      <c r="L20" s="13">
        <v>9</v>
      </c>
      <c r="M20" s="13">
        <v>4</v>
      </c>
      <c r="N20" s="13">
        <v>18</v>
      </c>
      <c r="O20" s="13">
        <v>0</v>
      </c>
      <c r="P20" s="18" t="s">
        <v>419</v>
      </c>
      <c r="W20" t="str">
        <f>IF(OR(IFERROR(SEARCH(H20,"Jún"), FALSE),IFERROR(SEARCH(H20,"Júl"), FALSE),IFERROR(SEARCH(H20,"Aug"), FALSE),IFERROR(SEARCH(H20,"Egész évben"), FALSE)),"igen","nem")</f>
        <v>nem</v>
      </c>
      <c r="X20" t="b">
        <f>IFERROR(SEARCH("Jún",C20), FALSE)</f>
        <v>0</v>
      </c>
      <c r="Y20" t="b">
        <f>IFERROR(SEARCH("Júl",C20), FALSE)</f>
        <v>0</v>
      </c>
      <c r="Z20" t="b">
        <f>IFERROR(SEARCH("Aug",C20), FALSE)</f>
        <v>0</v>
      </c>
      <c r="AA20" t="b">
        <f>IFERROR(SEARCH("Egész évben",C20), FALSE)</f>
        <v>0</v>
      </c>
      <c r="AB20" t="b">
        <f t="shared" si="2"/>
        <v>0</v>
      </c>
      <c r="AC20" t="str">
        <f t="shared" si="3"/>
        <v>nem</v>
      </c>
    </row>
    <row r="21" spans="1:29" x14ac:dyDescent="0.25">
      <c r="A21" s="17" t="s">
        <v>361</v>
      </c>
      <c r="B21" s="1" t="s">
        <v>40</v>
      </c>
      <c r="C21" s="1">
        <v>45.941289349999998</v>
      </c>
      <c r="D21" s="1">
        <v>0.80182676176890555</v>
      </c>
      <c r="E21" s="1">
        <v>11.28863808</v>
      </c>
      <c r="F21" s="1">
        <v>0.19702390256201105</v>
      </c>
      <c r="G21" s="2">
        <v>615.44115831526938</v>
      </c>
      <c r="H21" s="1" t="s">
        <v>27</v>
      </c>
      <c r="I21" s="12">
        <v>1650</v>
      </c>
      <c r="J21" s="12">
        <v>1150</v>
      </c>
      <c r="K21" s="13">
        <v>19</v>
      </c>
      <c r="L21" s="13">
        <v>5</v>
      </c>
      <c r="M21" s="13">
        <v>2</v>
      </c>
      <c r="N21" s="13">
        <v>26</v>
      </c>
      <c r="O21" s="13">
        <v>0</v>
      </c>
      <c r="P21" s="18" t="s">
        <v>419</v>
      </c>
      <c r="W21" t="str">
        <f>IF(OR(IFERROR(SEARCH(H21,"Jún"), FALSE),IFERROR(SEARCH(H21,"Júl"), FALSE),IFERROR(SEARCH(H21,"Aug"), FALSE),IFERROR(SEARCH(H21,"Egész évben"), FALSE)),"igen","nem")</f>
        <v>nem</v>
      </c>
      <c r="X21" t="b">
        <f>IFERROR(SEARCH("Jún",C21), FALSE)</f>
        <v>0</v>
      </c>
      <c r="Y21" t="b">
        <f>IFERROR(SEARCH("Júl",C21), FALSE)</f>
        <v>0</v>
      </c>
      <c r="Z21" t="b">
        <f>IFERROR(SEARCH("Aug",C21), FALSE)</f>
        <v>0</v>
      </c>
      <c r="AA21" t="b">
        <f>IFERROR(SEARCH("Egész évben",C21), FALSE)</f>
        <v>0</v>
      </c>
      <c r="AB21" t="b">
        <f t="shared" si="2"/>
        <v>0</v>
      </c>
      <c r="AC21" t="str">
        <f t="shared" si="3"/>
        <v>nem</v>
      </c>
    </row>
    <row r="22" spans="1:29" x14ac:dyDescent="0.25">
      <c r="A22" s="17" t="s">
        <v>216</v>
      </c>
      <c r="B22" s="1" t="s">
        <v>40</v>
      </c>
      <c r="C22" s="1">
        <v>45.9149727</v>
      </c>
      <c r="D22" s="1">
        <v>0.80136744957831063</v>
      </c>
      <c r="E22" s="1">
        <v>11.173014999999999</v>
      </c>
      <c r="F22" s="1">
        <v>0.19500589912471422</v>
      </c>
      <c r="G22" s="2">
        <v>624.84882288348933</v>
      </c>
      <c r="H22" s="1" t="s">
        <v>27</v>
      </c>
      <c r="I22" s="12">
        <v>1850</v>
      </c>
      <c r="J22" s="12">
        <v>1200</v>
      </c>
      <c r="K22" s="13">
        <v>36</v>
      </c>
      <c r="L22" s="13">
        <v>32</v>
      </c>
      <c r="M22" s="13">
        <v>5</v>
      </c>
      <c r="N22" s="13">
        <v>73</v>
      </c>
      <c r="O22" s="13">
        <v>3</v>
      </c>
      <c r="P22" s="18" t="s">
        <v>419</v>
      </c>
      <c r="W22" t="str">
        <f>IF(OR(IFERROR(SEARCH(H22,"Jún"), FALSE),IFERROR(SEARCH(H22,"Júl"), FALSE),IFERROR(SEARCH(H22,"Aug"), FALSE),IFERROR(SEARCH(H22,"Egész évben"), FALSE)),"igen","nem")</f>
        <v>nem</v>
      </c>
      <c r="X22" t="b">
        <f>IFERROR(SEARCH("Jún",C22), FALSE)</f>
        <v>0</v>
      </c>
      <c r="Y22" t="b">
        <f>IFERROR(SEARCH("Júl",C22), FALSE)</f>
        <v>0</v>
      </c>
      <c r="Z22" t="b">
        <f>IFERROR(SEARCH("Aug",C22), FALSE)</f>
        <v>0</v>
      </c>
      <c r="AA22" t="b">
        <f>IFERROR(SEARCH("Egész évben",C22), FALSE)</f>
        <v>0</v>
      </c>
      <c r="AB22" t="b">
        <f t="shared" si="2"/>
        <v>0</v>
      </c>
      <c r="AC22" t="str">
        <f t="shared" si="3"/>
        <v>nem</v>
      </c>
    </row>
    <row r="23" spans="1:29" x14ac:dyDescent="0.25">
      <c r="A23" s="17" t="s">
        <v>142</v>
      </c>
      <c r="B23" s="1" t="s">
        <v>40</v>
      </c>
      <c r="C23" s="1">
        <v>46.769961700000003</v>
      </c>
      <c r="D23" s="1">
        <v>0.81628982269664452</v>
      </c>
      <c r="E23" s="1">
        <v>10.7974224</v>
      </c>
      <c r="F23" s="1">
        <v>0.18845057160858819</v>
      </c>
      <c r="G23" s="2">
        <v>628.44980927505776</v>
      </c>
      <c r="H23" s="1" t="s">
        <v>66</v>
      </c>
      <c r="I23" s="12">
        <v>3212</v>
      </c>
      <c r="J23" s="12">
        <v>2011</v>
      </c>
      <c r="K23" s="13">
        <v>8</v>
      </c>
      <c r="L23" s="13">
        <v>7</v>
      </c>
      <c r="M23" s="13">
        <v>11</v>
      </c>
      <c r="N23" s="13">
        <v>26</v>
      </c>
      <c r="O23" s="13">
        <v>8</v>
      </c>
      <c r="P23" s="18" t="s">
        <v>419</v>
      </c>
      <c r="W23" t="str">
        <f>IF(OR(IFERROR(SEARCH(H23,"Jún"), FALSE),IFERROR(SEARCH(H23,"Júl"), FALSE),IFERROR(SEARCH(H23,"Aug"), FALSE),IFERROR(SEARCH(H23,"Egész évben"), FALSE)),"igen","nem")</f>
        <v>nem</v>
      </c>
      <c r="X23" t="b">
        <f>IFERROR(SEARCH("Jún",C23), FALSE)</f>
        <v>0</v>
      </c>
      <c r="Y23" t="b">
        <f>IFERROR(SEARCH("Júl",C23), FALSE)</f>
        <v>0</v>
      </c>
      <c r="Z23" t="b">
        <f>IFERROR(SEARCH("Aug",C23), FALSE)</f>
        <v>0</v>
      </c>
      <c r="AA23" t="b">
        <f>IFERROR(SEARCH("Egész évben",C23), FALSE)</f>
        <v>0</v>
      </c>
      <c r="AB23" t="b">
        <f t="shared" si="2"/>
        <v>0</v>
      </c>
      <c r="AC23" t="str">
        <f t="shared" si="3"/>
        <v>nem</v>
      </c>
    </row>
    <row r="24" spans="1:29" x14ac:dyDescent="0.25">
      <c r="A24" s="17" t="s">
        <v>311</v>
      </c>
      <c r="B24" s="1" t="s">
        <v>40</v>
      </c>
      <c r="C24" s="1">
        <v>46.157296299999999</v>
      </c>
      <c r="D24" s="1">
        <v>0.80559679425359632</v>
      </c>
      <c r="E24" s="1">
        <v>11.00551108</v>
      </c>
      <c r="F24" s="1">
        <v>0.19208240421071707</v>
      </c>
      <c r="G24" s="2">
        <v>628.87002707064437</v>
      </c>
      <c r="H24" s="1" t="s">
        <v>23</v>
      </c>
      <c r="I24" s="12">
        <v>2125</v>
      </c>
      <c r="J24" s="12">
        <v>1030</v>
      </c>
      <c r="K24" s="13">
        <v>9</v>
      </c>
      <c r="L24" s="13">
        <v>22</v>
      </c>
      <c r="M24" s="13">
        <v>1</v>
      </c>
      <c r="N24" s="13">
        <v>32</v>
      </c>
      <c r="O24" s="13">
        <v>6</v>
      </c>
      <c r="P24" s="18" t="s">
        <v>419</v>
      </c>
      <c r="W24" t="str">
        <f>IF(OR(IFERROR(SEARCH(H24,"Jún"), FALSE),IFERROR(SEARCH(H24,"Júl"), FALSE),IFERROR(SEARCH(H24,"Aug"), FALSE),IFERROR(SEARCH(H24,"Egész évben"), FALSE)),"igen","nem")</f>
        <v>nem</v>
      </c>
      <c r="X24" t="b">
        <f>IFERROR(SEARCH("Jún",C24), FALSE)</f>
        <v>0</v>
      </c>
      <c r="Y24" t="b">
        <f>IFERROR(SEARCH("Júl",C24), FALSE)</f>
        <v>0</v>
      </c>
      <c r="Z24" t="b">
        <f>IFERROR(SEARCH("Aug",C24), FALSE)</f>
        <v>0</v>
      </c>
      <c r="AA24" t="b">
        <f>IFERROR(SEARCH("Egész évben",C24), FALSE)</f>
        <v>0</v>
      </c>
      <c r="AB24" t="b">
        <f t="shared" si="2"/>
        <v>0</v>
      </c>
      <c r="AC24" t="str">
        <f t="shared" si="3"/>
        <v>nem</v>
      </c>
    </row>
    <row r="25" spans="1:29" x14ac:dyDescent="0.25">
      <c r="A25" s="17" t="s">
        <v>318</v>
      </c>
      <c r="B25" s="1" t="s">
        <v>40</v>
      </c>
      <c r="C25" s="1">
        <v>45.979849999999999</v>
      </c>
      <c r="D25" s="1">
        <v>0.80249977207311474</v>
      </c>
      <c r="E25" s="1">
        <v>11.0630167</v>
      </c>
      <c r="F25" s="1">
        <v>0.19308606661811778</v>
      </c>
      <c r="G25" s="2">
        <v>630.57546992437096</v>
      </c>
      <c r="H25" s="1" t="s">
        <v>23</v>
      </c>
      <c r="I25" s="12">
        <v>1976</v>
      </c>
      <c r="J25" s="12">
        <v>900</v>
      </c>
      <c r="K25" s="13">
        <v>15</v>
      </c>
      <c r="L25" s="13">
        <v>25</v>
      </c>
      <c r="M25" s="13">
        <v>10</v>
      </c>
      <c r="N25" s="13">
        <v>50</v>
      </c>
      <c r="O25" s="13">
        <v>0</v>
      </c>
      <c r="P25" s="18" t="s">
        <v>419</v>
      </c>
      <c r="W25" t="str">
        <f>IF(OR(IFERROR(SEARCH(H25,"Jún"), FALSE),IFERROR(SEARCH(H25,"Júl"), FALSE),IFERROR(SEARCH(H25,"Aug"), FALSE),IFERROR(SEARCH(H25,"Egész évben"), FALSE)),"igen","nem")</f>
        <v>nem</v>
      </c>
      <c r="X25" t="b">
        <f>IFERROR(SEARCH("Jún",C25), FALSE)</f>
        <v>0</v>
      </c>
      <c r="Y25" t="b">
        <f>IFERROR(SEARCH("Júl",C25), FALSE)</f>
        <v>0</v>
      </c>
      <c r="Z25" t="b">
        <f>IFERROR(SEARCH("Aug",C25), FALSE)</f>
        <v>0</v>
      </c>
      <c r="AA25" t="b">
        <f>IFERROR(SEARCH("Egész évben",C25), FALSE)</f>
        <v>0</v>
      </c>
      <c r="AB25" t="b">
        <f t="shared" si="2"/>
        <v>0</v>
      </c>
      <c r="AC25" t="str">
        <f t="shared" si="3"/>
        <v>nem</v>
      </c>
    </row>
    <row r="26" spans="1:29" x14ac:dyDescent="0.25">
      <c r="A26" s="17" t="s">
        <v>52</v>
      </c>
      <c r="B26" s="1" t="s">
        <v>40</v>
      </c>
      <c r="C26" s="1">
        <v>46.2269942</v>
      </c>
      <c r="D26" s="1">
        <v>0.80681325209032206</v>
      </c>
      <c r="E26" s="1">
        <v>10.8270157</v>
      </c>
      <c r="F26" s="1">
        <v>0.18896707213011862</v>
      </c>
      <c r="G26" s="2">
        <v>639.90758933614961</v>
      </c>
      <c r="H26" s="1" t="s">
        <v>23</v>
      </c>
      <c r="I26" s="12">
        <v>2504</v>
      </c>
      <c r="J26" s="12">
        <v>770</v>
      </c>
      <c r="K26" s="13">
        <v>60</v>
      </c>
      <c r="L26" s="13">
        <v>68</v>
      </c>
      <c r="M26" s="13">
        <v>22</v>
      </c>
      <c r="N26" s="13">
        <v>150</v>
      </c>
      <c r="O26" s="13">
        <v>5</v>
      </c>
      <c r="P26" s="18" t="s">
        <v>419</v>
      </c>
      <c r="W26" t="str">
        <f>IF(OR(IFERROR(SEARCH(H26,"Jún"), FALSE),IFERROR(SEARCH(H26,"Júl"), FALSE),IFERROR(SEARCH(H26,"Aug"), FALSE),IFERROR(SEARCH(H26,"Egész évben"), FALSE)),"igen","nem")</f>
        <v>nem</v>
      </c>
      <c r="X26" t="b">
        <f>IFERROR(SEARCH("Jún",C26), FALSE)</f>
        <v>0</v>
      </c>
      <c r="Y26" t="b">
        <f>IFERROR(SEARCH("Júl",C26), FALSE)</f>
        <v>0</v>
      </c>
      <c r="Z26" t="b">
        <f>IFERROR(SEARCH("Aug",C26), FALSE)</f>
        <v>0</v>
      </c>
      <c r="AA26" t="b">
        <f>IFERROR(SEARCH("Egész évben",C26), FALSE)</f>
        <v>0</v>
      </c>
      <c r="AB26" t="b">
        <f t="shared" si="2"/>
        <v>0</v>
      </c>
      <c r="AC26" t="str">
        <f t="shared" si="3"/>
        <v>nem</v>
      </c>
    </row>
    <row r="27" spans="1:29" x14ac:dyDescent="0.25">
      <c r="A27" s="17" t="s">
        <v>335</v>
      </c>
      <c r="B27" s="1" t="s">
        <v>40</v>
      </c>
      <c r="C27" s="1">
        <v>46.509070600000001</v>
      </c>
      <c r="D27" s="1">
        <v>0.81173641401249463</v>
      </c>
      <c r="E27" s="1">
        <v>10.59678748</v>
      </c>
      <c r="F27" s="1">
        <v>0.18494883166011275</v>
      </c>
      <c r="G27" s="2">
        <v>649.29720467775599</v>
      </c>
      <c r="H27" s="1" t="s">
        <v>21</v>
      </c>
      <c r="I27" s="12">
        <v>3250</v>
      </c>
      <c r="J27" s="12">
        <v>1900</v>
      </c>
      <c r="K27" s="13">
        <v>17</v>
      </c>
      <c r="L27" s="13">
        <v>13</v>
      </c>
      <c r="M27" s="13">
        <v>14</v>
      </c>
      <c r="N27" s="13">
        <v>44</v>
      </c>
      <c r="O27" s="13">
        <v>11</v>
      </c>
      <c r="P27" s="18" t="s">
        <v>419</v>
      </c>
      <c r="W27" t="str">
        <f>IF(OR(IFERROR(SEARCH(H27,"Jún"), FALSE),IFERROR(SEARCH(H27,"Júl"), FALSE),IFERROR(SEARCH(H27,"Aug"), FALSE),IFERROR(SEARCH(H27,"Egész évben"), FALSE)),"igen","nem")</f>
        <v>nem</v>
      </c>
      <c r="X27" t="b">
        <f>IFERROR(SEARCH("Jún",C27), FALSE)</f>
        <v>0</v>
      </c>
      <c r="Y27" t="b">
        <f>IFERROR(SEARCH("Júl",C27), FALSE)</f>
        <v>0</v>
      </c>
      <c r="Z27" t="b">
        <f>IFERROR(SEARCH("Aug",C27), FALSE)</f>
        <v>0</v>
      </c>
      <c r="AA27" t="b">
        <f>IFERROR(SEARCH("Egész évben",C27), FALSE)</f>
        <v>0</v>
      </c>
      <c r="AB27" t="b">
        <f t="shared" si="2"/>
        <v>0</v>
      </c>
      <c r="AC27" t="str">
        <f t="shared" si="3"/>
        <v>nem</v>
      </c>
    </row>
    <row r="28" spans="1:29" x14ac:dyDescent="0.25">
      <c r="A28" s="17" t="s">
        <v>245</v>
      </c>
      <c r="B28" s="1" t="s">
        <v>40</v>
      </c>
      <c r="C28" s="1">
        <v>46.258603000000001</v>
      </c>
      <c r="D28" s="1">
        <v>0.80736492972292651</v>
      </c>
      <c r="E28" s="1">
        <v>10.508661999999999</v>
      </c>
      <c r="F28" s="1">
        <v>0.18341075187921235</v>
      </c>
      <c r="G28" s="2">
        <v>662.57625651543276</v>
      </c>
      <c r="H28" s="1" t="s">
        <v>66</v>
      </c>
      <c r="I28" s="12">
        <v>3016</v>
      </c>
      <c r="J28" s="12">
        <v>1121</v>
      </c>
      <c r="K28" s="13">
        <v>10</v>
      </c>
      <c r="L28" s="13">
        <v>40</v>
      </c>
      <c r="M28" s="13">
        <v>9</v>
      </c>
      <c r="N28" s="13">
        <v>59</v>
      </c>
      <c r="O28" s="13">
        <v>11</v>
      </c>
      <c r="P28" s="18" t="s">
        <v>419</v>
      </c>
      <c r="W28" t="str">
        <f>IF(OR(IFERROR(SEARCH(H28,"Jún"), FALSE),IFERROR(SEARCH(H28,"Júl"), FALSE),IFERROR(SEARCH(H28,"Aug"), FALSE),IFERROR(SEARCH(H28,"Egész évben"), FALSE)),"igen","nem")</f>
        <v>nem</v>
      </c>
      <c r="X28" t="b">
        <f>IFERROR(SEARCH("Jún",C28), FALSE)</f>
        <v>0</v>
      </c>
      <c r="Y28" t="b">
        <f>IFERROR(SEARCH("Júl",C28), FALSE)</f>
        <v>0</v>
      </c>
      <c r="Z28" t="b">
        <f>IFERROR(SEARCH("Aug",C28), FALSE)</f>
        <v>0</v>
      </c>
      <c r="AA28" t="b">
        <f>IFERROR(SEARCH("Egész évben",C28), FALSE)</f>
        <v>0</v>
      </c>
      <c r="AB28" t="b">
        <f t="shared" si="2"/>
        <v>0</v>
      </c>
      <c r="AC28" t="str">
        <f t="shared" si="3"/>
        <v>nem</v>
      </c>
    </row>
    <row r="29" spans="1:29" x14ac:dyDescent="0.25">
      <c r="A29" s="17" t="s">
        <v>272</v>
      </c>
      <c r="B29" s="1" t="s">
        <v>40</v>
      </c>
      <c r="C29" s="1">
        <v>46.439757399999998</v>
      </c>
      <c r="D29" s="1">
        <v>0.81052667045740123</v>
      </c>
      <c r="E29" s="1">
        <v>10.392453100000001</v>
      </c>
      <c r="F29" s="1">
        <v>0.18138252395409152</v>
      </c>
      <c r="G29" s="2">
        <v>666.28186096600757</v>
      </c>
      <c r="H29" s="1" t="s">
        <v>23</v>
      </c>
      <c r="I29" s="12">
        <v>3012</v>
      </c>
      <c r="J29" s="12">
        <v>1225</v>
      </c>
      <c r="K29" s="13">
        <v>14</v>
      </c>
      <c r="L29" s="13">
        <v>34</v>
      </c>
      <c r="M29" s="13">
        <v>2</v>
      </c>
      <c r="N29" s="13">
        <v>50</v>
      </c>
      <c r="O29" s="13">
        <v>8</v>
      </c>
      <c r="P29" s="18" t="s">
        <v>419</v>
      </c>
      <c r="W29" t="str">
        <f>IF(OR(IFERROR(SEARCH(H29,"Jún"), FALSE),IFERROR(SEARCH(H29,"Júl"), FALSE),IFERROR(SEARCH(H29,"Aug"), FALSE),IFERROR(SEARCH(H29,"Egész évben"), FALSE)),"igen","nem")</f>
        <v>nem</v>
      </c>
      <c r="X29" t="b">
        <f>IFERROR(SEARCH("Jún",C29), FALSE)</f>
        <v>0</v>
      </c>
      <c r="Y29" t="b">
        <f>IFERROR(SEARCH("Júl",C29), FALSE)</f>
        <v>0</v>
      </c>
      <c r="Z29" t="b">
        <f>IFERROR(SEARCH("Aug",C29), FALSE)</f>
        <v>0</v>
      </c>
      <c r="AA29" t="b">
        <f>IFERROR(SEARCH("Egész évben",C29), FALSE)</f>
        <v>0</v>
      </c>
      <c r="AB29" t="b">
        <f t="shared" si="2"/>
        <v>0</v>
      </c>
      <c r="AC29" t="str">
        <f t="shared" si="3"/>
        <v>nem</v>
      </c>
    </row>
    <row r="30" spans="1:29" x14ac:dyDescent="0.25">
      <c r="A30" s="17" t="s">
        <v>51</v>
      </c>
      <c r="B30" s="1" t="s">
        <v>40</v>
      </c>
      <c r="C30" s="1">
        <v>46.520092599999998</v>
      </c>
      <c r="D30" s="1">
        <v>0.81192878420264947</v>
      </c>
      <c r="E30" s="1">
        <v>10.1289555</v>
      </c>
      <c r="F30" s="1">
        <v>0.17678362326298849</v>
      </c>
      <c r="G30" s="2">
        <v>683.96715657742573</v>
      </c>
      <c r="H30" s="1" t="s">
        <v>21</v>
      </c>
      <c r="I30" s="12">
        <v>2798</v>
      </c>
      <c r="J30" s="12">
        <v>1816</v>
      </c>
      <c r="K30" s="13">
        <v>30</v>
      </c>
      <c r="L30" s="13">
        <v>65</v>
      </c>
      <c r="M30" s="13">
        <v>20</v>
      </c>
      <c r="N30" s="13">
        <v>115</v>
      </c>
      <c r="O30" s="13">
        <v>6</v>
      </c>
      <c r="P30" s="18" t="s">
        <v>419</v>
      </c>
      <c r="W30" t="str">
        <f>IF(OR(IFERROR(SEARCH(H30,"Jún"), FALSE),IFERROR(SEARCH(H30,"Júl"), FALSE),IFERROR(SEARCH(H30,"Aug"), FALSE),IFERROR(SEARCH(H30,"Egész évben"), FALSE)),"igen","nem")</f>
        <v>nem</v>
      </c>
      <c r="X30" t="b">
        <f>IFERROR(SEARCH("Jún",C30), FALSE)</f>
        <v>0</v>
      </c>
      <c r="Y30" t="b">
        <f>IFERROR(SEARCH("Júl",C30), FALSE)</f>
        <v>0</v>
      </c>
      <c r="Z30" t="b">
        <f>IFERROR(SEARCH("Aug",C30), FALSE)</f>
        <v>0</v>
      </c>
      <c r="AA30" t="b">
        <f>IFERROR(SEARCH("Egész évben",C30), FALSE)</f>
        <v>0</v>
      </c>
      <c r="AB30" t="b">
        <f t="shared" si="2"/>
        <v>0</v>
      </c>
      <c r="AC30" t="str">
        <f t="shared" si="3"/>
        <v>nem</v>
      </c>
    </row>
    <row r="31" spans="1:29" x14ac:dyDescent="0.25">
      <c r="A31" s="17" t="s">
        <v>271</v>
      </c>
      <c r="B31" s="1" t="s">
        <v>40</v>
      </c>
      <c r="C31" s="1">
        <v>46.152697000000003</v>
      </c>
      <c r="D31" s="1">
        <v>0.80551652132530949</v>
      </c>
      <c r="E31" s="1">
        <v>10.151655999999999</v>
      </c>
      <c r="F31" s="1">
        <v>0.17717982172983746</v>
      </c>
      <c r="G31" s="2">
        <v>692.1899869200339</v>
      </c>
      <c r="H31" s="1" t="s">
        <v>21</v>
      </c>
      <c r="I31" s="12">
        <v>2270</v>
      </c>
      <c r="J31" s="12">
        <v>1162</v>
      </c>
      <c r="K31" s="13">
        <v>28</v>
      </c>
      <c r="L31" s="13">
        <v>14</v>
      </c>
      <c r="M31" s="13">
        <v>7</v>
      </c>
      <c r="N31" s="13">
        <v>49</v>
      </c>
      <c r="O31" s="13">
        <v>0</v>
      </c>
      <c r="P31" s="18" t="s">
        <v>419</v>
      </c>
      <c r="W31" t="str">
        <f>IF(OR(IFERROR(SEARCH(H31,"Jún"), FALSE),IFERROR(SEARCH(H31,"Júl"), FALSE),IFERROR(SEARCH(H31,"Aug"), FALSE),IFERROR(SEARCH(H31,"Egész évben"), FALSE)),"igen","nem")</f>
        <v>nem</v>
      </c>
      <c r="X31" t="b">
        <f>IFERROR(SEARCH("Jún",C31), FALSE)</f>
        <v>0</v>
      </c>
      <c r="Y31" t="b">
        <f>IFERROR(SEARCH("Júl",C31), FALSE)</f>
        <v>0</v>
      </c>
      <c r="Z31" t="b">
        <f>IFERROR(SEARCH("Aug",C31), FALSE)</f>
        <v>0</v>
      </c>
      <c r="AA31" t="b">
        <f>IFERROR(SEARCH("Egész évben",C31), FALSE)</f>
        <v>0</v>
      </c>
      <c r="AB31" t="b">
        <f t="shared" si="2"/>
        <v>0</v>
      </c>
      <c r="AC31" t="str">
        <f t="shared" si="3"/>
        <v>nem</v>
      </c>
    </row>
    <row r="32" spans="1:29" x14ac:dyDescent="0.25">
      <c r="A32" s="17" t="s">
        <v>199</v>
      </c>
      <c r="B32" s="1" t="s">
        <v>40</v>
      </c>
      <c r="C32" s="1">
        <v>41.848166999999997</v>
      </c>
      <c r="D32" s="1">
        <v>0.73038830007443778</v>
      </c>
      <c r="E32" s="1">
        <v>14.079594</v>
      </c>
      <c r="F32" s="1">
        <v>0.24573527264403849</v>
      </c>
      <c r="G32" s="2">
        <v>740.26530865387929</v>
      </c>
      <c r="H32" s="1" t="s">
        <v>27</v>
      </c>
      <c r="I32" s="12">
        <v>2141</v>
      </c>
      <c r="J32" s="12">
        <v>1309</v>
      </c>
      <c r="K32" s="13">
        <v>37</v>
      </c>
      <c r="L32" s="13">
        <v>32</v>
      </c>
      <c r="M32" s="13">
        <v>20</v>
      </c>
      <c r="N32" s="13">
        <v>89</v>
      </c>
      <c r="O32" s="13">
        <v>0</v>
      </c>
      <c r="P32" s="18" t="s">
        <v>419</v>
      </c>
      <c r="W32" t="str">
        <f>IF(OR(IFERROR(SEARCH(H32,"Jún"), FALSE),IFERROR(SEARCH(H32,"Júl"), FALSE),IFERROR(SEARCH(H32,"Aug"), FALSE),IFERROR(SEARCH(H32,"Egész évben"), FALSE)),"igen","nem")</f>
        <v>nem</v>
      </c>
      <c r="X32" t="b">
        <f>IFERROR(SEARCH("Jún",C32), FALSE)</f>
        <v>0</v>
      </c>
      <c r="Y32" t="b">
        <f>IFERROR(SEARCH("Júl",C32), FALSE)</f>
        <v>0</v>
      </c>
      <c r="Z32" t="b">
        <f>IFERROR(SEARCH("Aug",C32), FALSE)</f>
        <v>0</v>
      </c>
      <c r="AA32" t="b">
        <f>IFERROR(SEARCH("Egész évben",C32), FALSE)</f>
        <v>0</v>
      </c>
      <c r="AB32" t="b">
        <f t="shared" si="2"/>
        <v>0</v>
      </c>
      <c r="AC32" t="str">
        <f t="shared" si="3"/>
        <v>nem</v>
      </c>
    </row>
    <row r="33" spans="1:29" x14ac:dyDescent="0.25">
      <c r="A33" s="17" t="s">
        <v>49</v>
      </c>
      <c r="B33" s="1" t="s">
        <v>40</v>
      </c>
      <c r="C33" s="1">
        <v>46.425463700000002</v>
      </c>
      <c r="D33" s="1">
        <v>0.81027719833010903</v>
      </c>
      <c r="E33" s="1">
        <v>9.3898334509999994</v>
      </c>
      <c r="F33" s="1">
        <v>0.16388350993385162</v>
      </c>
      <c r="G33" s="2">
        <v>741.50206174020218</v>
      </c>
      <c r="H33" s="1" t="s">
        <v>23</v>
      </c>
      <c r="I33" s="12">
        <v>1550</v>
      </c>
      <c r="J33" s="12">
        <v>1082</v>
      </c>
      <c r="K33" s="13">
        <v>13</v>
      </c>
      <c r="L33" s="13">
        <v>28</v>
      </c>
      <c r="M33" s="13">
        <v>5</v>
      </c>
      <c r="N33" s="13">
        <v>46</v>
      </c>
      <c r="O33" s="13">
        <v>0</v>
      </c>
      <c r="P33" s="18" t="s">
        <v>419</v>
      </c>
      <c r="W33" t="str">
        <f>IF(OR(IFERROR(SEARCH(H33,"Jún"), FALSE),IFERROR(SEARCH(H33,"Júl"), FALSE),IFERROR(SEARCH(H33,"Aug"), FALSE),IFERROR(SEARCH(H33,"Egész évben"), FALSE)),"igen","nem")</f>
        <v>nem</v>
      </c>
      <c r="X33" t="b">
        <f>IFERROR(SEARCH("Jún",C33), FALSE)</f>
        <v>0</v>
      </c>
      <c r="Y33" t="b">
        <f>IFERROR(SEARCH("Júl",C33), FALSE)</f>
        <v>0</v>
      </c>
      <c r="Z33" t="b">
        <f>IFERROR(SEARCH("Aug",C33), FALSE)</f>
        <v>0</v>
      </c>
      <c r="AA33" t="b">
        <f>IFERROR(SEARCH("Egész évben",C33), FALSE)</f>
        <v>0</v>
      </c>
      <c r="AB33" t="b">
        <f t="shared" si="2"/>
        <v>0</v>
      </c>
      <c r="AC33" t="str">
        <f t="shared" si="3"/>
        <v>nem</v>
      </c>
    </row>
    <row r="34" spans="1:29" x14ac:dyDescent="0.25">
      <c r="A34" s="17" t="s">
        <v>309</v>
      </c>
      <c r="B34" s="1" t="s">
        <v>40</v>
      </c>
      <c r="C34" s="1">
        <v>44.131437499999997</v>
      </c>
      <c r="D34" s="1">
        <v>0.77023888801309504</v>
      </c>
      <c r="E34" s="1">
        <v>10.6306384</v>
      </c>
      <c r="F34" s="1">
        <v>0.18553964166894196</v>
      </c>
      <c r="G34" s="2">
        <v>751.00119979392628</v>
      </c>
      <c r="H34" s="1" t="s">
        <v>27</v>
      </c>
      <c r="I34" s="12">
        <v>1892</v>
      </c>
      <c r="J34" s="12">
        <v>1240</v>
      </c>
      <c r="K34" s="13">
        <v>14</v>
      </c>
      <c r="L34" s="13">
        <v>28</v>
      </c>
      <c r="M34" s="13">
        <v>1</v>
      </c>
      <c r="N34" s="13">
        <v>43</v>
      </c>
      <c r="O34" s="13">
        <v>0</v>
      </c>
      <c r="P34" s="18" t="s">
        <v>419</v>
      </c>
      <c r="W34" t="str">
        <f>IF(OR(IFERROR(SEARCH(H34,"Jún"), FALSE),IFERROR(SEARCH(H34,"Júl"), FALSE),IFERROR(SEARCH(H34,"Aug"), FALSE),IFERROR(SEARCH(H34,"Egész évben"), FALSE)),"igen","nem")</f>
        <v>nem</v>
      </c>
      <c r="X34" t="b">
        <f>IFERROR(SEARCH("Jún",C34), FALSE)</f>
        <v>0</v>
      </c>
      <c r="Y34" t="b">
        <f>IFERROR(SEARCH("Júl",C34), FALSE)</f>
        <v>0</v>
      </c>
      <c r="Z34" t="b">
        <f>IFERROR(SEARCH("Aug",C34), FALSE)</f>
        <v>0</v>
      </c>
      <c r="AA34" t="b">
        <f>IFERROR(SEARCH("Egész évben",C34), FALSE)</f>
        <v>0</v>
      </c>
      <c r="AB34" t="b">
        <f t="shared" si="2"/>
        <v>0</v>
      </c>
      <c r="AC34" t="str">
        <f t="shared" si="3"/>
        <v>nem</v>
      </c>
    </row>
    <row r="35" spans="1:29" x14ac:dyDescent="0.25">
      <c r="A35" s="17" t="s">
        <v>269</v>
      </c>
      <c r="B35" s="1" t="s">
        <v>40</v>
      </c>
      <c r="C35" s="1">
        <v>45.769944099999996</v>
      </c>
      <c r="D35" s="1">
        <v>0.79883622299875268</v>
      </c>
      <c r="E35" s="1">
        <v>8.0810802000000006</v>
      </c>
      <c r="F35" s="1">
        <v>0.14104145660772188</v>
      </c>
      <c r="G35" s="2">
        <v>857.74607125543491</v>
      </c>
      <c r="H35" s="1" t="s">
        <v>23</v>
      </c>
      <c r="I35" s="12">
        <v>1540</v>
      </c>
      <c r="J35" s="12">
        <v>570</v>
      </c>
      <c r="K35" s="13">
        <v>8</v>
      </c>
      <c r="L35" s="13">
        <v>35</v>
      </c>
      <c r="M35" s="13">
        <v>6</v>
      </c>
      <c r="N35" s="13">
        <v>49</v>
      </c>
      <c r="O35" s="13">
        <v>0</v>
      </c>
      <c r="P35" s="18" t="s">
        <v>419</v>
      </c>
      <c r="W35" t="str">
        <f>IF(OR(IFERROR(SEARCH(H35,"Jún"), FALSE),IFERROR(SEARCH(H35,"Júl"), FALSE),IFERROR(SEARCH(H35,"Aug"), FALSE),IFERROR(SEARCH(H35,"Egész évben"), FALSE)),"igen","nem")</f>
        <v>nem</v>
      </c>
      <c r="X35" t="b">
        <f>IFERROR(SEARCH("Jún",C35), FALSE)</f>
        <v>0</v>
      </c>
      <c r="Y35" t="b">
        <f>IFERROR(SEARCH("Júl",C35), FALSE)</f>
        <v>0</v>
      </c>
      <c r="Z35" t="b">
        <f>IFERROR(SEARCH("Aug",C35), FALSE)</f>
        <v>0</v>
      </c>
      <c r="AA35" t="b">
        <f>IFERROR(SEARCH("Egész évben",C35), FALSE)</f>
        <v>0</v>
      </c>
      <c r="AB35" t="b">
        <f t="shared" si="2"/>
        <v>0</v>
      </c>
      <c r="AC35" t="str">
        <f t="shared" si="3"/>
        <v>nem</v>
      </c>
    </row>
    <row r="36" spans="1:29" x14ac:dyDescent="0.25">
      <c r="A36" s="17" t="s">
        <v>41</v>
      </c>
      <c r="B36" s="1" t="s">
        <v>40</v>
      </c>
      <c r="C36" s="1">
        <v>45.859757399999999</v>
      </c>
      <c r="D36" s="1">
        <v>0.8004037607958342</v>
      </c>
      <c r="E36" s="1">
        <v>7.7526156779999997</v>
      </c>
      <c r="F36" s="1">
        <v>0.13530866922283252</v>
      </c>
      <c r="G36" s="2">
        <v>879.33293837057784</v>
      </c>
      <c r="H36" s="1" t="s">
        <v>27</v>
      </c>
      <c r="I36" s="12">
        <v>3275</v>
      </c>
      <c r="J36" s="12">
        <v>1212</v>
      </c>
      <c r="K36" s="13">
        <v>23</v>
      </c>
      <c r="L36" s="13">
        <v>94</v>
      </c>
      <c r="M36" s="13">
        <v>15</v>
      </c>
      <c r="N36" s="13">
        <v>132</v>
      </c>
      <c r="O36" s="13">
        <v>8</v>
      </c>
      <c r="P36" s="18" t="s">
        <v>419</v>
      </c>
      <c r="W36" t="str">
        <f>IF(OR(IFERROR(SEARCH(H36,"Jún"), FALSE),IFERROR(SEARCH(H36,"Júl"), FALSE),IFERROR(SEARCH(H36,"Aug"), FALSE),IFERROR(SEARCH(H36,"Egész évben"), FALSE)),"igen","nem")</f>
        <v>nem</v>
      </c>
      <c r="X36" t="b">
        <f>IFERROR(SEARCH("Jún",C36), FALSE)</f>
        <v>0</v>
      </c>
      <c r="Y36" t="b">
        <f>IFERROR(SEARCH("Júl",C36), FALSE)</f>
        <v>0</v>
      </c>
      <c r="Z36" t="b">
        <f>IFERROR(SEARCH("Aug",C36), FALSE)</f>
        <v>0</v>
      </c>
      <c r="AA36" t="b">
        <f>IFERROR(SEARCH("Egész évben",C36), FALSE)</f>
        <v>0</v>
      </c>
      <c r="AB36" t="b">
        <f t="shared" si="2"/>
        <v>0</v>
      </c>
      <c r="AC36" t="str">
        <f t="shared" si="3"/>
        <v>nem</v>
      </c>
    </row>
    <row r="37" spans="1:29" x14ac:dyDescent="0.25">
      <c r="A37" s="17" t="s">
        <v>145</v>
      </c>
      <c r="B37" s="1" t="s">
        <v>40</v>
      </c>
      <c r="C37" s="1">
        <v>45.8366951</v>
      </c>
      <c r="D37" s="1">
        <v>0.8000012477277515</v>
      </c>
      <c r="E37" s="1">
        <v>7.7313716489999997</v>
      </c>
      <c r="F37" s="1">
        <v>0.13493789097039335</v>
      </c>
      <c r="G37" s="2">
        <v>881.62467484532704</v>
      </c>
      <c r="H37" s="1" t="s">
        <v>27</v>
      </c>
      <c r="I37" s="12">
        <v>3275</v>
      </c>
      <c r="J37" s="12">
        <v>1212</v>
      </c>
      <c r="K37" s="13">
        <v>23</v>
      </c>
      <c r="L37" s="13">
        <v>94</v>
      </c>
      <c r="M37" s="13">
        <v>15</v>
      </c>
      <c r="N37" s="13">
        <v>132</v>
      </c>
      <c r="O37" s="13">
        <v>0</v>
      </c>
      <c r="P37" s="18" t="s">
        <v>419</v>
      </c>
      <c r="W37" t="str">
        <f>IF(OR(IFERROR(SEARCH(H37,"Jún"), FALSE),IFERROR(SEARCH(H37,"Júl"), FALSE),IFERROR(SEARCH(H37,"Aug"), FALSE),IFERROR(SEARCH(H37,"Egész évben"), FALSE)),"igen","nem")</f>
        <v>nem</v>
      </c>
      <c r="X37" t="b">
        <f>IFERROR(SEARCH("Jún",C37), FALSE)</f>
        <v>0</v>
      </c>
      <c r="Y37" t="b">
        <f>IFERROR(SEARCH("Júl",C37), FALSE)</f>
        <v>0</v>
      </c>
      <c r="Z37" t="b">
        <f>IFERROR(SEARCH("Aug",C37), FALSE)</f>
        <v>0</v>
      </c>
      <c r="AA37" t="b">
        <f>IFERROR(SEARCH("Egész évben",C37), FALSE)</f>
        <v>0</v>
      </c>
      <c r="AB37" t="b">
        <f t="shared" si="2"/>
        <v>0</v>
      </c>
      <c r="AC37" t="str">
        <f t="shared" si="3"/>
        <v>nem</v>
      </c>
    </row>
    <row r="38" spans="1:29" x14ac:dyDescent="0.25">
      <c r="A38" s="17" t="s">
        <v>138</v>
      </c>
      <c r="B38" s="1" t="s">
        <v>40</v>
      </c>
      <c r="C38" s="1">
        <v>45.787424799999997</v>
      </c>
      <c r="D38" s="1">
        <v>0.79914131876930605</v>
      </c>
      <c r="E38" s="1">
        <v>6.9730618</v>
      </c>
      <c r="F38" s="1">
        <v>0.12170288735504232</v>
      </c>
      <c r="G38" s="2">
        <v>939.61382576871119</v>
      </c>
      <c r="H38" s="1"/>
      <c r="I38" s="12">
        <v>2755</v>
      </c>
      <c r="J38" s="12">
        <v>1205</v>
      </c>
      <c r="K38" s="13">
        <v>16</v>
      </c>
      <c r="L38" s="13">
        <v>21</v>
      </c>
      <c r="M38" s="13">
        <v>4</v>
      </c>
      <c r="N38" s="13">
        <v>41</v>
      </c>
      <c r="O38" s="13">
        <v>0</v>
      </c>
      <c r="P38" s="18" t="s">
        <v>419</v>
      </c>
      <c r="W38" t="str">
        <f>IF(OR(IFERROR(SEARCH(H38,"Jún"), FALSE),IFERROR(SEARCH(H38,"Júl"), FALSE),IFERROR(SEARCH(H38,"Aug"), FALSE),IFERROR(SEARCH(H38,"Egész évben"), FALSE)),"igen","nem")</f>
        <v>igen</v>
      </c>
      <c r="X38" t="b">
        <f>IFERROR(SEARCH("Jún",C38), FALSE)</f>
        <v>0</v>
      </c>
      <c r="Y38" t="b">
        <f>IFERROR(SEARCH("Júl",C38), FALSE)</f>
        <v>0</v>
      </c>
      <c r="Z38" t="b">
        <f>IFERROR(SEARCH("Aug",C38), FALSE)</f>
        <v>0</v>
      </c>
      <c r="AA38" t="b">
        <f>IFERROR(SEARCH("Egész évben",C38), FALSE)</f>
        <v>0</v>
      </c>
      <c r="AB38" t="b">
        <f t="shared" si="2"/>
        <v>0</v>
      </c>
      <c r="AC38" t="str">
        <f t="shared" si="3"/>
        <v>nem</v>
      </c>
    </row>
    <row r="39" spans="1:29" x14ac:dyDescent="0.25">
      <c r="A39" s="17" t="s">
        <v>187</v>
      </c>
      <c r="B39" s="1" t="s">
        <v>40</v>
      </c>
      <c r="C39" s="1">
        <v>44.249445999999999</v>
      </c>
      <c r="D39" s="1">
        <v>0.77229852488343476</v>
      </c>
      <c r="E39" s="1">
        <v>7.7750810000000001</v>
      </c>
      <c r="F39" s="1">
        <v>0.13570076305925324</v>
      </c>
      <c r="G39" s="2">
        <v>942.85398058176224</v>
      </c>
      <c r="H39" s="1"/>
      <c r="I39" s="12">
        <v>807</v>
      </c>
      <c r="J39" s="12">
        <v>803</v>
      </c>
      <c r="K39" s="13">
        <v>42</v>
      </c>
      <c r="L39" s="13">
        <v>51</v>
      </c>
      <c r="M39" s="13">
        <v>11</v>
      </c>
      <c r="N39" s="13">
        <v>104</v>
      </c>
      <c r="O39" s="13">
        <v>0</v>
      </c>
      <c r="P39" s="18" t="s">
        <v>419</v>
      </c>
      <c r="W39" t="str">
        <f>IF(OR(IFERROR(SEARCH(H39,"Jún"), FALSE),IFERROR(SEARCH(H39,"Júl"), FALSE),IFERROR(SEARCH(H39,"Aug"), FALSE),IFERROR(SEARCH(H39,"Egész évben"), FALSE)),"igen","nem")</f>
        <v>igen</v>
      </c>
      <c r="X39" t="b">
        <f>IFERROR(SEARCH("Jún",C39), FALSE)</f>
        <v>0</v>
      </c>
      <c r="Y39" t="b">
        <f>IFERROR(SEARCH("Júl",C39), FALSE)</f>
        <v>0</v>
      </c>
      <c r="Z39" t="b">
        <f>IFERROR(SEARCH("Aug",C39), FALSE)</f>
        <v>0</v>
      </c>
      <c r="AA39" t="b">
        <f>IFERROR(SEARCH("Egész évben",C39), FALSE)</f>
        <v>0</v>
      </c>
      <c r="AB39" t="b">
        <f t="shared" si="2"/>
        <v>0</v>
      </c>
      <c r="AC39" t="str">
        <f t="shared" si="3"/>
        <v>nem</v>
      </c>
    </row>
    <row r="40" spans="1:29" x14ac:dyDescent="0.25">
      <c r="A40" s="17" t="s">
        <v>50</v>
      </c>
      <c r="B40" s="1" t="s">
        <v>40</v>
      </c>
      <c r="C40" s="1">
        <v>45.7162875</v>
      </c>
      <c r="D40" s="1">
        <v>0.7978997386633272</v>
      </c>
      <c r="E40" s="1">
        <v>6.9486119000000004</v>
      </c>
      <c r="F40" s="1">
        <v>0.12127615609825898</v>
      </c>
      <c r="G40" s="2">
        <v>943.64738388468913</v>
      </c>
      <c r="H40" s="1" t="s">
        <v>27</v>
      </c>
      <c r="I40" s="12">
        <v>2641</v>
      </c>
      <c r="J40" s="12">
        <v>1176</v>
      </c>
      <c r="K40" s="13">
        <v>55</v>
      </c>
      <c r="L40" s="13">
        <v>83</v>
      </c>
      <c r="M40" s="13">
        <v>22</v>
      </c>
      <c r="N40" s="13">
        <v>160</v>
      </c>
      <c r="O40" s="13">
        <v>0</v>
      </c>
      <c r="P40" s="18" t="s">
        <v>419</v>
      </c>
      <c r="W40" t="str">
        <f>IF(OR(IFERROR(SEARCH(H40,"Jún"), FALSE),IFERROR(SEARCH(H40,"Júl"), FALSE),IFERROR(SEARCH(H40,"Aug"), FALSE),IFERROR(SEARCH(H40,"Egész évben"), FALSE)),"igen","nem")</f>
        <v>nem</v>
      </c>
      <c r="X40" t="b">
        <f>IFERROR(SEARCH("Jún",C40), FALSE)</f>
        <v>0</v>
      </c>
      <c r="Y40" t="b">
        <f>IFERROR(SEARCH("Júl",C40), FALSE)</f>
        <v>0</v>
      </c>
      <c r="Z40" t="b">
        <f>IFERROR(SEARCH("Aug",C40), FALSE)</f>
        <v>0</v>
      </c>
      <c r="AA40" t="b">
        <f>IFERROR(SEARCH("Egész évben",C40), FALSE)</f>
        <v>0</v>
      </c>
      <c r="AB40" t="b">
        <f t="shared" si="2"/>
        <v>0</v>
      </c>
      <c r="AC40" t="str">
        <f t="shared" si="3"/>
        <v>nem</v>
      </c>
    </row>
    <row r="41" spans="1:29" x14ac:dyDescent="0.25">
      <c r="A41" s="17" t="s">
        <v>265</v>
      </c>
      <c r="B41" s="1" t="s">
        <v>40</v>
      </c>
      <c r="C41" s="1">
        <v>44.185330499999999</v>
      </c>
      <c r="D41" s="1">
        <v>0.77117949830687238</v>
      </c>
      <c r="E41" s="1">
        <v>7.581660887</v>
      </c>
      <c r="F41" s="1">
        <v>0.13232494524782376</v>
      </c>
      <c r="G41" s="2">
        <v>959.8295434423294</v>
      </c>
      <c r="H41" s="1" t="s">
        <v>27</v>
      </c>
      <c r="I41" s="12">
        <v>2060</v>
      </c>
      <c r="J41" s="12">
        <v>1046</v>
      </c>
      <c r="K41" s="13">
        <v>11</v>
      </c>
      <c r="L41" s="13">
        <v>35</v>
      </c>
      <c r="M41" s="13">
        <v>5</v>
      </c>
      <c r="N41" s="13">
        <v>51</v>
      </c>
      <c r="O41" s="13">
        <v>0</v>
      </c>
      <c r="P41" s="18" t="s">
        <v>419</v>
      </c>
      <c r="W41" t="str">
        <f>IF(OR(IFERROR(SEARCH(H41,"Jún"), FALSE),IFERROR(SEARCH(H41,"Júl"), FALSE),IFERROR(SEARCH(H41,"Aug"), FALSE),IFERROR(SEARCH(H41,"Egész évben"), FALSE)),"igen","nem")</f>
        <v>nem</v>
      </c>
      <c r="X41" t="b">
        <f>IFERROR(SEARCH("Jún",C41), FALSE)</f>
        <v>0</v>
      </c>
      <c r="Y41" t="b">
        <f>IFERROR(SEARCH("Júl",C41), FALSE)</f>
        <v>0</v>
      </c>
      <c r="Z41" t="b">
        <f>IFERROR(SEARCH("Aug",C41), FALSE)</f>
        <v>0</v>
      </c>
      <c r="AA41" t="b">
        <f>IFERROR(SEARCH("Egész évben",C41), FALSE)</f>
        <v>0</v>
      </c>
      <c r="AB41" t="b">
        <f t="shared" si="2"/>
        <v>0</v>
      </c>
      <c r="AC41" t="str">
        <f t="shared" si="3"/>
        <v>nem</v>
      </c>
    </row>
    <row r="42" spans="1:29" x14ac:dyDescent="0.25">
      <c r="A42" s="17" t="s">
        <v>276</v>
      </c>
      <c r="B42" s="1" t="s">
        <v>40</v>
      </c>
      <c r="C42" s="1">
        <v>45.016217099999999</v>
      </c>
      <c r="D42" s="1">
        <v>0.78568120518757345</v>
      </c>
      <c r="E42" s="1">
        <v>6.9424530999999998</v>
      </c>
      <c r="F42" s="1">
        <v>0.12116866476028713</v>
      </c>
      <c r="G42" s="2">
        <v>969.02002523232852</v>
      </c>
      <c r="H42" s="1" t="s">
        <v>27</v>
      </c>
      <c r="I42" s="12">
        <v>2700</v>
      </c>
      <c r="J42" s="12">
        <v>1335</v>
      </c>
      <c r="K42" s="13">
        <v>14</v>
      </c>
      <c r="L42" s="13">
        <v>32</v>
      </c>
      <c r="M42" s="13">
        <v>4</v>
      </c>
      <c r="N42" s="13">
        <v>50</v>
      </c>
      <c r="O42" s="13">
        <v>0</v>
      </c>
      <c r="P42" s="18" t="s">
        <v>419</v>
      </c>
      <c r="W42" t="str">
        <f>IF(OR(IFERROR(SEARCH(H42,"Jún"), FALSE),IFERROR(SEARCH(H42,"Júl"), FALSE),IFERROR(SEARCH(H42,"Aug"), FALSE),IFERROR(SEARCH(H42,"Egész évben"), FALSE)),"igen","nem")</f>
        <v>nem</v>
      </c>
      <c r="X42" t="b">
        <f>IFERROR(SEARCH("Jún",C42), FALSE)</f>
        <v>0</v>
      </c>
      <c r="Y42" t="b">
        <f>IFERROR(SEARCH("Júl",C42), FALSE)</f>
        <v>0</v>
      </c>
      <c r="Z42" t="b">
        <f>IFERROR(SEARCH("Aug",C42), FALSE)</f>
        <v>0</v>
      </c>
      <c r="AA42" t="b">
        <f>IFERROR(SEARCH("Egész évben",C42), FALSE)</f>
        <v>0</v>
      </c>
      <c r="AB42" t="b">
        <f t="shared" si="2"/>
        <v>0</v>
      </c>
      <c r="AC42" t="str">
        <f t="shared" si="3"/>
        <v>nem</v>
      </c>
    </row>
    <row r="43" spans="1:29" x14ac:dyDescent="0.25">
      <c r="A43" s="17" t="s">
        <v>149</v>
      </c>
      <c r="B43" s="1" t="s">
        <v>40</v>
      </c>
      <c r="C43" s="1">
        <v>45.025957099999999</v>
      </c>
      <c r="D43" s="1">
        <v>0.78585120025671773</v>
      </c>
      <c r="E43" s="1">
        <v>6.8602827</v>
      </c>
      <c r="F43" s="1">
        <v>0.11973452073260639</v>
      </c>
      <c r="G43" s="2">
        <v>974.67425939570467</v>
      </c>
      <c r="H43" s="1" t="s">
        <v>23</v>
      </c>
      <c r="I43" s="12">
        <v>2749</v>
      </c>
      <c r="J43" s="12">
        <v>1372</v>
      </c>
      <c r="K43" s="13">
        <v>96</v>
      </c>
      <c r="L43" s="13">
        <v>220</v>
      </c>
      <c r="M43" s="13">
        <v>84</v>
      </c>
      <c r="N43" s="13">
        <v>400</v>
      </c>
      <c r="O43" s="13">
        <v>0</v>
      </c>
      <c r="P43" s="18" t="s">
        <v>419</v>
      </c>
      <c r="W43" t="str">
        <f>IF(OR(IFERROR(SEARCH(H43,"Jún"), FALSE),IFERROR(SEARCH(H43,"Júl"), FALSE),IFERROR(SEARCH(H43,"Aug"), FALSE),IFERROR(SEARCH(H43,"Egész évben"), FALSE)),"igen","nem")</f>
        <v>nem</v>
      </c>
      <c r="X43" t="b">
        <f>IFERROR(SEARCH("Jún",C43), FALSE)</f>
        <v>0</v>
      </c>
      <c r="Y43" t="b">
        <f>IFERROR(SEARCH("Júl",C43), FALSE)</f>
        <v>0</v>
      </c>
      <c r="Z43" t="b">
        <f>IFERROR(SEARCH("Aug",C43), FALSE)</f>
        <v>0</v>
      </c>
      <c r="AA43" t="b">
        <f>IFERROR(SEARCH("Egész évben",C43), FALSE)</f>
        <v>0</v>
      </c>
      <c r="AB43" t="b">
        <f t="shared" si="2"/>
        <v>0</v>
      </c>
      <c r="AC43" t="str">
        <f t="shared" si="3"/>
        <v>nem</v>
      </c>
    </row>
    <row r="44" spans="1:29" x14ac:dyDescent="0.25">
      <c r="A44" s="17" t="s">
        <v>57</v>
      </c>
      <c r="B44" s="1" t="s">
        <v>40</v>
      </c>
      <c r="C44" s="1">
        <v>44.954537999999999</v>
      </c>
      <c r="D44" s="1">
        <v>0.78460470181290665</v>
      </c>
      <c r="E44" s="1">
        <v>6.8806580000000004</v>
      </c>
      <c r="F44" s="1">
        <v>0.12009013680368801</v>
      </c>
      <c r="G44" s="2">
        <v>976.01526527729288</v>
      </c>
      <c r="H44" s="1" t="s">
        <v>23</v>
      </c>
      <c r="I44" s="12">
        <v>2749</v>
      </c>
      <c r="J44" s="12">
        <v>1372</v>
      </c>
      <c r="K44" s="13">
        <v>96</v>
      </c>
      <c r="L44" s="13">
        <v>220</v>
      </c>
      <c r="M44" s="13">
        <v>84</v>
      </c>
      <c r="N44" s="13">
        <v>400</v>
      </c>
      <c r="O44" s="13">
        <v>7</v>
      </c>
      <c r="P44" s="18" t="s">
        <v>419</v>
      </c>
      <c r="W44" t="str">
        <f>IF(OR(IFERROR(SEARCH(H44,"Jún"), FALSE),IFERROR(SEARCH(H44,"Júl"), FALSE),IFERROR(SEARCH(H44,"Aug"), FALSE),IFERROR(SEARCH(H44,"Egész évben"), FALSE)),"igen","nem")</f>
        <v>nem</v>
      </c>
      <c r="X44" t="b">
        <f>IFERROR(SEARCH("Jún",C44), FALSE)</f>
        <v>0</v>
      </c>
      <c r="Y44" t="b">
        <f>IFERROR(SEARCH("Júl",C44), FALSE)</f>
        <v>0</v>
      </c>
      <c r="Z44" t="b">
        <f>IFERROR(SEARCH("Aug",C44), FALSE)</f>
        <v>0</v>
      </c>
      <c r="AA44" t="b">
        <f>IFERROR(SEARCH("Egész évben",C44), FALSE)</f>
        <v>0</v>
      </c>
      <c r="AB44" t="b">
        <f t="shared" si="2"/>
        <v>0</v>
      </c>
      <c r="AC44" t="str">
        <f t="shared" si="3"/>
        <v>nem</v>
      </c>
    </row>
    <row r="45" spans="1:29" ht="15.75" thickBot="1" x14ac:dyDescent="0.3">
      <c r="A45" s="19" t="s">
        <v>190</v>
      </c>
      <c r="B45" s="20" t="s">
        <v>40</v>
      </c>
      <c r="C45" s="20">
        <v>45.078339</v>
      </c>
      <c r="D45" s="20">
        <v>0.78676543688016809</v>
      </c>
      <c r="E45" s="20">
        <v>6.7032049999999996</v>
      </c>
      <c r="F45" s="20">
        <v>0.11699299768614649</v>
      </c>
      <c r="G45" s="21">
        <v>984.19559411044543</v>
      </c>
      <c r="H45" s="20" t="s">
        <v>27</v>
      </c>
      <c r="I45" s="22">
        <v>2694</v>
      </c>
      <c r="J45" s="22">
        <v>1312</v>
      </c>
      <c r="K45" s="23">
        <v>54</v>
      </c>
      <c r="L45" s="23">
        <v>38</v>
      </c>
      <c r="M45" s="23">
        <v>8</v>
      </c>
      <c r="N45" s="23">
        <v>100</v>
      </c>
      <c r="O45" s="23">
        <v>0</v>
      </c>
      <c r="P45" s="24" t="s">
        <v>419</v>
      </c>
      <c r="W45" t="str">
        <f>IF(OR(IFERROR(SEARCH(H45,"Jún"), FALSE),IFERROR(SEARCH(H45,"Júl"), FALSE),IFERROR(SEARCH(H45,"Aug"), FALSE),IFERROR(SEARCH(H45,"Egész évben"), FALSE)),"igen","nem")</f>
        <v>nem</v>
      </c>
      <c r="X45" t="b">
        <f>IFERROR(SEARCH("Jún",C45), FALSE)</f>
        <v>0</v>
      </c>
      <c r="Y45" t="b">
        <f>IFERROR(SEARCH("Júl",C45), FALSE)</f>
        <v>0</v>
      </c>
      <c r="Z45" t="b">
        <f>IFERROR(SEARCH("Aug",C45), FALSE)</f>
        <v>0</v>
      </c>
      <c r="AA45" t="b">
        <f>IFERROR(SEARCH("Egész évben",C45), FALSE)</f>
        <v>0</v>
      </c>
      <c r="AB45" t="b">
        <f t="shared" si="2"/>
        <v>0</v>
      </c>
      <c r="AC45" t="str">
        <f t="shared" si="3"/>
        <v>nem</v>
      </c>
    </row>
  </sheetData>
  <sortState xmlns:xlrd2="http://schemas.microsoft.com/office/spreadsheetml/2017/richdata2" ref="A2:P45">
    <sortCondition ref="G2:G45"/>
  </sortState>
  <conditionalFormatting sqref="I2:I45">
    <cfRule type="cellIs" dxfId="0" priority="1" operator="greaterThan">
      <formula>2999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ADF5-95BD-4266-BAC4-CB9F040FD609}">
  <dimension ref="A1"/>
  <sheetViews>
    <sheetView tabSelected="1" zoomScale="70" zoomScaleNormal="7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Alapadatok</vt:lpstr>
      <vt:lpstr>Olaszország</vt:lpstr>
      <vt:lpstr>Halmozott sávdiagram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2026-02-10T09:27:12Z</dcterms:created>
  <dcterms:modified xsi:type="dcterms:W3CDTF">2026-02-12T09:22:57Z</dcterms:modified>
</cp:coreProperties>
</file>